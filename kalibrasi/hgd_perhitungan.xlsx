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kanik" sheetId="1" state="visible" r:id="rId3"/>
    <sheet name="Elektri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<sst xmlns="http://schemas.openxmlformats.org/spreadsheetml/2006/main" count="615" uniqueCount="403">
  <si>
    <t xml:space="preserve">Perhitungan mekanik: kekakuan pelat, tegangan, celah, spacer, baut, dan massa (housing grip)</t>
  </si>
  <si>
    <t xml:space="preserve">Legenda: sel BIRU dengan latar KUNING = input yang boleh diubah; HIJAU = tautan ke blok Elektrik; HITAM = rumus. Model: kantilever, spacer dan baut dianggap kaku; lenturan load cell, tinggi penutup, dan margin rakit ada di anggaran celah. Ini hitungan kasar untuk arah desain, bukan verifikasi.</t>
  </si>
  <si>
    <t xml:space="preserve">1. Input geometri dan bahan</t>
  </si>
  <si>
    <t xml:space="preserve">Besaran</t>
  </si>
  <si>
    <t xml:space="preserve">Nilai</t>
  </si>
  <si>
    <t xml:space="preserve">Satuan</t>
  </si>
  <si>
    <t xml:space="preserve">Rumus / arti / catatan</t>
  </si>
  <si>
    <t xml:space="preserve">Referensi</t>
  </si>
  <si>
    <t xml:space="preserve">Beban rancangan (genggam maksimum)</t>
  </si>
  <si>
    <t xml:space="preserve">kgf</t>
  </si>
  <si>
    <t xml:space="preserve">Tautan ke Input Elektrik (beban maksimum yang dipakai)</t>
  </si>
  <si>
    <t xml:space="preserve">Blok Elektrik, Input</t>
  </si>
  <si>
    <t xml:space="preserve">Percepatan gravitasi</t>
  </si>
  <si>
    <t xml:space="preserve">m/s^2</t>
  </si>
  <si>
    <t xml:space="preserve">Tautan ke Input Elektrik</t>
  </si>
  <si>
    <t xml:space="preserve">Konstanta standar</t>
  </si>
  <si>
    <t xml:space="preserve">Lebar pelat A dan B (b)</t>
  </si>
  <si>
    <t xml:space="preserve">mm</t>
  </si>
  <si>
    <t xml:space="preserve">Pelat aluminium polos</t>
  </si>
  <si>
    <t xml:space="preserve">housing-load-cell/asumsi.md Bagian 2</t>
  </si>
  <si>
    <t xml:space="preserve">Tebal pelat (h)</t>
  </si>
  <si>
    <t xml:space="preserve">Al 6061-T6 (nilai keputusan)</t>
  </si>
  <si>
    <t xml:space="preserve">asumsi.md Bagian 2; HL9</t>
  </si>
  <si>
    <t xml:space="preserve">Panjang pelat</t>
  </si>
  <si>
    <t xml:space="preserve">Dipotong dari pelat 170 x 30 x 10</t>
  </si>
  <si>
    <t xml:space="preserve">asumsi.md Bagian 2</t>
  </si>
  <si>
    <t xml:space="preserve">Modulus elastisitas aluminium (E)</t>
  </si>
  <si>
    <t xml:space="preserve">MPa</t>
  </si>
  <si>
    <t xml:space="preserve">70 GPa dipakai di seluruh perhitungan; belum ada datasheet pemasok</t>
  </si>
  <si>
    <t xml:space="preserve">DS-MAT1 (belum diambil); asumsi.md Bagian 2</t>
  </si>
  <si>
    <t xml:space="preserve">Kuat luluh minimum Al 6061-T6</t>
  </si>
  <si>
    <t xml:space="preserve">Nilai minimum yang dipakai untuk faktor keamanan</t>
  </si>
  <si>
    <t xml:space="preserve">asumsi.md Bagian 2; DS-MAT1 (belum diambil)</t>
  </si>
  <si>
    <t xml:space="preserve">Massa jenis aluminium</t>
  </si>
  <si>
    <t xml:space="preserve">kg/m^3</t>
  </si>
  <si>
    <t xml:space="preserve">Nilai umum Al 6061</t>
  </si>
  <si>
    <t xml:space="preserve">DS-MAT1 (belum diambil)</t>
  </si>
  <si>
    <t xml:space="preserve">Panjang load cell</t>
  </si>
  <si>
    <t xml:space="preserve">Terukur 10 Okt. 2026 (gambar penjual 130)</t>
  </si>
  <si>
    <t xml:space="preserve">tabel-pengukuran-hgd.xlsx tab Load cell (C1); DS-LC1</t>
  </si>
  <si>
    <t xml:space="preserve">Tinggi load cell</t>
  </si>
  <si>
    <t xml:space="preserve">Terukur 10 Okt. 2026 (gambar penjual 22)</t>
  </si>
  <si>
    <t xml:space="preserve">Panjang blok ujung load cell (boss_L)</t>
  </si>
  <si>
    <t xml:space="preserve">Taksiran dari gambar penjual; ukur dengan jangka sorong</t>
  </si>
  <si>
    <t xml:space="preserve">tabel-pengukuran-hgd.xlsx tab Load cell (C4); DS-LC1</t>
  </si>
  <si>
    <t xml:space="preserve">Diameter lubang lewat di pelat</t>
  </si>
  <si>
    <t xml:space="preserve">Lubang lewat M6 seri sedang</t>
  </si>
  <si>
    <t xml:space="preserve">ISO 273; asumsi.md Bagian 2.4</t>
  </si>
  <si>
    <t xml:space="preserve">Celah pelat ke badan load cell</t>
  </si>
  <si>
    <t xml:space="preserve">Celah bebas-sentuh</t>
  </si>
  <si>
    <t xml:space="preserve">asumsi.md Bagian 2.2</t>
  </si>
  <si>
    <t xml:space="preserve">Tinggi ridge dan bidang tumpu</t>
  </si>
  <si>
    <t xml:space="preserve">Di sisi luar B</t>
  </si>
  <si>
    <t xml:space="preserve">asumsi.md Bagian 3.3</t>
  </si>
  <si>
    <t xml:space="preserve">2. Geometri turunan dan kekakuan pelat (kantilever)</t>
  </si>
  <si>
    <t xml:space="preserve">Lengan tuas a</t>
  </si>
  <si>
    <t xml:space="preserve">a = L_lc/2 - boss_L</t>
  </si>
  <si>
    <t xml:space="preserve">asumsi.md Bagian 2 (Model)</t>
  </si>
  <si>
    <t xml:space="preserve">Jarak ujung jauh x</t>
  </si>
  <si>
    <t xml:space="preserve">x = L_lc - boss_L</t>
  </si>
  <si>
    <t xml:space="preserve">Bentang bebas</t>
  </si>
  <si>
    <t xml:space="preserve">L_lc - 2 x boss_L</t>
  </si>
  <si>
    <t xml:space="preserve">Gaya rancangan F</t>
  </si>
  <si>
    <t xml:space="preserve">N</t>
  </si>
  <si>
    <t xml:space="preserve">F = kgf x g (kgf dianggap sama dengan kg-massa)</t>
  </si>
  <si>
    <t xml:space="preserve">Momen inersia penampang pelat I</t>
  </si>
  <si>
    <t xml:space="preserve">mm^4</t>
  </si>
  <si>
    <t xml:space="preserve">I = b h^3 / 12</t>
  </si>
  <si>
    <t xml:space="preserve">Lenturan di titik beban, delta(a)</t>
  </si>
  <si>
    <t xml:space="preserve">delta(a) = F a^3 / (3 E I)</t>
  </si>
  <si>
    <t xml:space="preserve">Lenturan di ujung jauh, delta(x)</t>
  </si>
  <si>
    <t xml:space="preserve">delta(x) = F a^2 (3x - a) / (6 E I)</t>
  </si>
  <si>
    <t xml:space="preserve">Tegangan lentur di pangkal, sigma</t>
  </si>
  <si>
    <t xml:space="preserve">sigma = F a (h/2) / I</t>
  </si>
  <si>
    <t xml:space="preserve">Tegangan bersih di lubang, sigma_net</t>
  </si>
  <si>
    <t xml:space="preserve">sigma_net = sigma x b / (b - 2d); konservatif</t>
  </si>
  <si>
    <t xml:space="preserve">Faktor keamanan terhadap luluh</t>
  </si>
  <si>
    <t xml:space="preserve">x</t>
  </si>
  <si>
    <t xml:space="preserve">Kuat luluh / sigma_net</t>
  </si>
  <si>
    <t xml:space="preserve">3. Anggaran celah</t>
  </si>
  <si>
    <t xml:space="preserve">Lenturan load cell sendiri pada beban rancangan</t>
  </si>
  <si>
    <t xml:space="preserve">Asumsi desain; belum diukur</t>
  </si>
  <si>
    <t xml:space="preserve">asumsi.md Bagian 2.3</t>
  </si>
  <si>
    <t xml:space="preserve">Tinggi penutup / area tengah di atas permukaan</t>
  </si>
  <si>
    <t xml:space="preserve">Asumsi desain</t>
  </si>
  <si>
    <t xml:space="preserve">Margin rakit (kerataan pelat, spacer, baut)</t>
  </si>
  <si>
    <t xml:space="preserve">Total celah terpakai</t>
  </si>
  <si>
    <t xml:space="preserve">Lenturan ujung jauh + tiga butir di atas</t>
  </si>
  <si>
    <t xml:space="preserve">Sisa celah</t>
  </si>
  <si>
    <t xml:space="preserve">Harus positif</t>
  </si>
  <si>
    <t xml:space="preserve">Status celah</t>
  </si>
  <si>
    <t xml:space="preserve">-</t>
  </si>
  <si>
    <t xml:space="preserve">4. Spacer PLA dan baut</t>
  </si>
  <si>
    <t xml:space="preserve">Lebar spacer</t>
  </si>
  <si>
    <t xml:space="preserve">Selaras dengan lebar load cell terukur</t>
  </si>
  <si>
    <t xml:space="preserve">asumsi.md Bagian 3.4</t>
  </si>
  <si>
    <t xml:space="preserve">Panjang spacer</t>
  </si>
  <si>
    <t xml:space="preserve">Tidak boleh melewati blok ujung load cell</t>
  </si>
  <si>
    <t xml:space="preserve">Tebal spacer</t>
  </si>
  <si>
    <t xml:space="preserve">Sama dengan celah</t>
  </si>
  <si>
    <t xml:space="preserve">asumsi.md Bagian 3.1</t>
  </si>
  <si>
    <t xml:space="preserve">Diameter lubang di spacer (untuk luas bersih)</t>
  </si>
  <si>
    <t xml:space="preserve">Perhitungan asumsi.md memakai 6,5; lubang spacer keputusan 7,0</t>
  </si>
  <si>
    <t xml:space="preserve">asumsi.md Bagian 3.1, 2.4</t>
  </si>
  <si>
    <t xml:space="preserve">Jumlah lubang per spacer</t>
  </si>
  <si>
    <t xml:space="preserve">buah</t>
  </si>
  <si>
    <t xml:space="preserve">Tiap spacer menutup dua lubang</t>
  </si>
  <si>
    <t xml:space="preserve">Modulus PLA</t>
  </si>
  <si>
    <t xml:space="preserve">Perkiraan ≈3 GPa; belum ada datasheet filamen</t>
  </si>
  <si>
    <t xml:space="preserve">asumsi.md Bagian 3.1; DS-MAT2 (belum diambil)</t>
  </si>
  <si>
    <t xml:space="preserve">Luas bersih spacer</t>
  </si>
  <si>
    <t xml:space="preserve">mm^2</t>
  </si>
  <si>
    <t xml:space="preserve">Luas penuh dikurangi lubang</t>
  </si>
  <si>
    <t xml:space="preserve">Kompresi spacer</t>
  </si>
  <si>
    <t xml:space="preserve">F t / (A E); dapat diabaikan terhadap celah</t>
  </si>
  <si>
    <t xml:space="preserve">Tekanan rata-rata spacer</t>
  </si>
  <si>
    <t xml:space="preserve">F / A</t>
  </si>
  <si>
    <t xml:space="preserve">Momen pada spacer</t>
  </si>
  <si>
    <t xml:space="preserve">N.mm</t>
  </si>
  <si>
    <t xml:space="preserve">M = F a</t>
  </si>
  <si>
    <t xml:space="preserve">asumsi.md Bagian 3.2</t>
  </si>
  <si>
    <t xml:space="preserve">Modulus penampang spacer</t>
  </si>
  <si>
    <t xml:space="preserve">mm^3</t>
  </si>
  <si>
    <t xml:space="preserve">S = b h^2 / 6 (penampang utuh)</t>
  </si>
  <si>
    <t xml:space="preserve">Tekanan tepi (metode lama, preload cukup)</t>
  </si>
  <si>
    <t xml:space="preserve">M/S + tekanan rata-rata</t>
  </si>
  <si>
    <t xml:space="preserve">Diameter nominal ulir baut</t>
  </si>
  <si>
    <t xml:space="preserve">M6</t>
  </si>
  <si>
    <t xml:space="preserve">ISO 4017 / ISO 898-1</t>
  </si>
  <si>
    <t xml:space="preserve">Torsi pengencang</t>
  </si>
  <si>
    <t xml:space="preserve">N.m</t>
  </si>
  <si>
    <t xml:space="preserve">Asumsi desain, di bawah batas baut kelas 8.8</t>
  </si>
  <si>
    <t xml:space="preserve">Koefisien torsi K</t>
  </si>
  <si>
    <t xml:space="preserve">Nilai umum baut kering</t>
  </si>
  <si>
    <t xml:space="preserve">Preload per baut</t>
  </si>
  <si>
    <t xml:space="preserve">T = K d F</t>
  </si>
  <si>
    <t xml:space="preserve">Jarak baut ke tepi dalam spacer</t>
  </si>
  <si>
    <t xml:space="preserve">Spacer 28 - 12 mm dari ujung</t>
  </si>
  <si>
    <t xml:space="preserve">Tarik baut per ujung (ungkit)</t>
  </si>
  <si>
    <t xml:space="preserve">F a / l</t>
  </si>
  <si>
    <t xml:space="preserve">Gaya kontak di tepi dalam</t>
  </si>
  <si>
    <t xml:space="preserve">F (a + l) / l</t>
  </si>
  <si>
    <t xml:space="preserve">Lebar kontak kerja (asumsi)</t>
  </si>
  <si>
    <t xml:space="preserve">Asumsi kerja</t>
  </si>
  <si>
    <t xml:space="preserve">Tekanan lokal di tepi dalam</t>
  </si>
  <si>
    <t xml:space="preserve">Fc / (lebar x lebar kontak)</t>
  </si>
  <si>
    <t xml:space="preserve">Panjang baut</t>
  </si>
  <si>
    <t xml:space="preserve">M6 x 25, kelas 8.8</t>
  </si>
  <si>
    <t xml:space="preserve">ISO 4017</t>
  </si>
  <si>
    <t xml:space="preserve">Tebal washer</t>
  </si>
  <si>
    <t xml:space="preserve">ISO 7089 untuk M6</t>
  </si>
  <si>
    <t xml:space="preserve">ISO 7089</t>
  </si>
  <si>
    <t xml:space="preserve">Panjang ulir masuk</t>
  </si>
  <si>
    <t xml:space="preserve">Panjang baut - washer - pelat - spacer</t>
  </si>
  <si>
    <t xml:space="preserve">Ulir masuk dibanding diameter</t>
  </si>
  <si>
    <t xml:space="preserve">Harus &gt; 1 x d; ujung tidak menembus tinggi load cell</t>
  </si>
  <si>
    <t xml:space="preserve">Ujung baut dalam tinggi load cell</t>
  </si>
  <si>
    <t xml:space="preserve">Ulir tersedia sepanjang tinggi load cell (lubang tembus)</t>
  </si>
  <si>
    <t xml:space="preserve">5. Tebal total, massa, dan beban batas</t>
  </si>
  <si>
    <t xml:space="preserve">Tebal total pelat dan load cell</t>
  </si>
  <si>
    <t xml:space="preserve">10 + 2,5 + 21,5 + 2,5 + 10 + ridge</t>
  </si>
  <si>
    <t xml:space="preserve">Massa satu pelat</t>
  </si>
  <si>
    <t xml:space="preserve">kg</t>
  </si>
  <si>
    <t xml:space="preserve">Volume x massa jenis</t>
  </si>
  <si>
    <t xml:space="preserve">asumsi.md</t>
  </si>
  <si>
    <t xml:space="preserve">Massa sepasang pelat</t>
  </si>
  <si>
    <t xml:space="preserve">Dua pelat</t>
  </si>
  <si>
    <t xml:space="preserve">Selisih massa pelat B dengan input Elektrik (massa penekan sel)</t>
  </si>
  <si>
    <t xml:space="preserve">Mendekati nol berarti input Elektrik konsisten</t>
  </si>
  <si>
    <t xml:space="preserve">Batas aman load cell</t>
  </si>
  <si>
    <t xml:space="preserve">Kapasitas x overload aman</t>
  </si>
  <si>
    <t xml:space="preserve">[6] GJ Impex (DS-LC1); dipilih konservatif</t>
  </si>
  <si>
    <t xml:space="preserve">Batas destruktif load cell</t>
  </si>
  <si>
    <t xml:space="preserve">Kapasitas x overload destruktif</t>
  </si>
  <si>
    <t xml:space="preserve">Beban rancangan dibanding batas aman</t>
  </si>
  <si>
    <t xml:space="preserve">&lt; 1 berarti di bawah batas aman</t>
  </si>
  <si>
    <t xml:space="preserve">Blok Elektrik, Hitung 7</t>
  </si>
  <si>
    <t xml:space="preserve">Catatan: tidak ada stop overload mekanis; di atas sekitar 80 kgf remasan tidak terlindungi (asumsi.md Bagian 6). Angka overload 120%/150% adalah pilihan desain konservatif; vendor menyebut 150%/200%.</t>
  </si>
  <si>
    <t xml:space="preserve">Perhitungan elektrik: sinyal, ADC, noise, galat, dan kalibrasi (hand grip dynamometer, CZL 601 80 kg + HX711)</t>
  </si>
  <si>
    <t xml:space="preserve">Input parameter - Hand grip dynamometer (CZL 601 80 kg + HX711)</t>
  </si>
  <si>
    <t xml:space="preserve">Legenda: sel BIRU dengan latar KUNING = input yang boleh diubah. Blok Hitung, Galat, dan Kalibrasi di bawahnya berisi rumus dan ikut berubah. Sumber: DS-LC1 dan DS-HX1 di datasheet/datasheet-library.md ([4]-[6] load cell, [2] Avia).</t>
  </si>
  <si>
    <t xml:space="preserve">Parameter</t>
  </si>
  <si>
    <t xml:space="preserve">Sumber / catatan</t>
  </si>
  <si>
    <t xml:space="preserve">Referensi (nomor di datasheet/datasheet-library.md)</t>
  </si>
  <si>
    <t xml:space="preserve">Sensitivitas load cell (S)</t>
  </si>
  <si>
    <t xml:space="preserve">mV/V</t>
  </si>
  <si>
    <t xml:space="preserve">Eagle Weigh [5]: 2,0 +-0,15 mV/V; nominal</t>
  </si>
  <si>
    <t xml:space="preserve">[5] Eagle Weigh (DS-LC1)</t>
  </si>
  <si>
    <t xml:space="preserve">Kapasitas load cell</t>
  </si>
  <si>
    <t xml:space="preserve">Eagle Weigh [5]</t>
  </si>
  <si>
    <t xml:space="preserve">Beban maksimum yang dipakai</t>
  </si>
  <si>
    <t xml:space="preserve">Asumsi proyek: pria muda maks sekitar 59 kgf (Gotthelf) + margin</t>
  </si>
  <si>
    <t xml:space="preserve">Gotthelf dkk. 2021 (sitasi/sitasi-hgd.md, kode G)</t>
  </si>
  <si>
    <t xml:space="preserve">Beban genggam tipikal (untuk % galat)</t>
  </si>
  <si>
    <t xml:space="preserve">Wanita 20-24 th rata-rata 31,7 kgf (Gotthelf)</t>
  </si>
  <si>
    <t xml:space="preserve">Resistansi masukan jembatan</t>
  </si>
  <si>
    <t xml:space="preserve">ohm</t>
  </si>
  <si>
    <t xml:space="preserve">GJ Impex [6]: 400 +-10; vendor 401 +-10; ukur saat tiba</t>
  </si>
  <si>
    <t xml:space="preserve">[6] GJ Impex; vendor [4] (DS-LC1)</t>
  </si>
  <si>
    <t xml:space="preserve">Tegangan eksitasi E+ (V_exc)</t>
  </si>
  <si>
    <t xml:space="preserve">V</t>
  </si>
  <si>
    <t xml:space="preserve">Ukur di papan. Papan cacat: sekitar 4,3 V pada catu 5 V; catu 3,3 V: isi 3,3</t>
  </si>
  <si>
    <t xml:space="preserve">Ukur di papan; DS-HX1 Peringatan</t>
  </si>
  <si>
    <t xml:space="preserve">AVDD HX711</t>
  </si>
  <si>
    <t xml:space="preserve">Ukur; harus sama dengan catu modul</t>
  </si>
  <si>
    <t xml:space="preserve">[2] Avia (AVDD 2,6-5,5 V) (DS-HX1)</t>
  </si>
  <si>
    <t xml:space="preserve">Gain kanal A</t>
  </si>
  <si>
    <t xml:space="preserve">Avia [2]: 128 atau 64</t>
  </si>
  <si>
    <t xml:space="preserve">[2] Avia (DS-HX1)</t>
  </si>
  <si>
    <t xml:space="preserve">Noise masukan 10 SPS</t>
  </si>
  <si>
    <t xml:space="preserve">nV rms</t>
  </si>
  <si>
    <t xml:space="preserve">Avia [2], gain 128</t>
  </si>
  <si>
    <t xml:space="preserve">Noise masukan 80 SPS</t>
  </si>
  <si>
    <t xml:space="preserve">Laju data terpilih</t>
  </si>
  <si>
    <t xml:space="preserve">SPS</t>
  </si>
  <si>
    <t xml:space="preserve">10 (bawaan papan) atau 80</t>
  </si>
  <si>
    <t xml:space="preserve">Lebar kode ADC</t>
  </si>
  <si>
    <t xml:space="preserve">bit</t>
  </si>
  <si>
    <t xml:space="preserve">Avia [2]</t>
  </si>
  <si>
    <t xml:space="preserve">Offset common-mode bawah</t>
  </si>
  <si>
    <t xml:space="preserve">Avia: AGND + 1,2 V</t>
  </si>
  <si>
    <t xml:space="preserve">Offset common-mode atas</t>
  </si>
  <si>
    <t xml:space="preserve">Avia: AVDD - 1,3 V</t>
  </si>
  <si>
    <t xml:space="preserve">Overload aman</t>
  </si>
  <si>
    <t xml:space="preserve">% FS</t>
  </si>
  <si>
    <t xml:space="preserve">GJ Impex [6] (konservatif; vendor 150)</t>
  </si>
  <si>
    <t xml:space="preserve">Overload destruktif</t>
  </si>
  <si>
    <t xml:space="preserve">GJ Impex [6] (konservatif; vendor 200)</t>
  </si>
  <si>
    <t xml:space="preserve">Error gabungan</t>
  </si>
  <si>
    <t xml:space="preserve">%RO</t>
  </si>
  <si>
    <t xml:space="preserve">Eagle Weigh [5]: &lt;= +-0,03 %RO</t>
  </si>
  <si>
    <t xml:space="preserve">Creep (30 menit)</t>
  </si>
  <si>
    <t xml:space="preserve">% FSO</t>
  </si>
  <si>
    <t xml:space="preserve">GJ Impex [6]: &lt;0,025 (vendor 0,0016 tidak dipakai)</t>
  </si>
  <si>
    <t xml:space="preserve">[6] GJ Impex (DS-LC1)</t>
  </si>
  <si>
    <t xml:space="preserve">Zero balance</t>
  </si>
  <si>
    <t xml:space="preserve">GJ Impex [6]: &lt;+-1</t>
  </si>
  <si>
    <t xml:space="preserve">Toleransi sensitivitas</t>
  </si>
  <si>
    <t xml:space="preserve">Efek suhu load cell (nol dan span)</t>
  </si>
  <si>
    <t xml:space="preserve">% FSO/10 C</t>
  </si>
  <si>
    <t xml:space="preserve">GJ Impex [6]</t>
  </si>
  <si>
    <t xml:space="preserve">Perubahan suhu selama pemakaian</t>
  </si>
  <si>
    <t xml:space="preserve">C</t>
  </si>
  <si>
    <t xml:space="preserve">Asumsi</t>
  </si>
  <si>
    <t xml:space="preserve">Drift offset HX711</t>
  </si>
  <si>
    <t xml:space="preserve">nV/C</t>
  </si>
  <si>
    <t xml:space="preserve">Arus HX711</t>
  </si>
  <si>
    <t xml:space="preserve">mA</t>
  </si>
  <si>
    <t xml:space="preserve">Avia [2]: &lt; 1,5 mA</t>
  </si>
  <si>
    <t xml:space="preserve">Konstanta standar (g_n = 9,80665 m/s^2)</t>
  </si>
  <si>
    <t xml:space="preserve">Durasi tahan genggam</t>
  </si>
  <si>
    <t xml:space="preserve">s</t>
  </si>
  <si>
    <t xml:space="preserve">Asumsi protokol 3-5 s</t>
  </si>
  <si>
    <t xml:space="preserve">Protokol V1 (sitasi/sitasi-hgd.md)</t>
  </si>
  <si>
    <t xml:space="preserve">Massa bagian housing yang membebani sel</t>
  </si>
  <si>
    <t xml:space="preserve">Asumsi dari estimasi sebelumnya (0,14 kg untuk 90 derajat); ganti dengan timbangan</t>
  </si>
  <si>
    <t xml:space="preserve">Asumsi; bandingkan dengan blok Mekanik</t>
  </si>
  <si>
    <t xml:space="preserve">Sudut kemiringan antara tare dan pakai</t>
  </si>
  <si>
    <t xml:space="preserve">derajat</t>
  </si>
  <si>
    <t xml:space="preserve">Skenario terburuk 90 atau 180</t>
  </si>
  <si>
    <t xml:space="preserve">Jumlah pembacaan awal dibuang</t>
  </si>
  <si>
    <t xml:space="preserve">sampel</t>
  </si>
  <si>
    <t xml:space="preserve">Settling 400 ms pada 10 Hz</t>
  </si>
  <si>
    <t xml:space="preserve">Perhitungan utama (semua rumus; ubah nilai di blok Input (baris 3 sampai 34))</t>
  </si>
  <si>
    <t xml:space="preserve">Rumus / arti</t>
  </si>
  <si>
    <t xml:space="preserve">1. Sinyal jembatan</t>
  </si>
  <si>
    <t xml:space="preserve">Keluaran jembatan pada skala penuh</t>
  </si>
  <si>
    <t xml:space="preserve">mV</t>
  </si>
  <si>
    <t xml:space="preserve">S x V_exc</t>
  </si>
  <si>
    <t xml:space="preserve">[5]; rumus ratiometrik jembatan</t>
  </si>
  <si>
    <t xml:space="preserve">Keluaran pada beban maksimum</t>
  </si>
  <si>
    <t xml:space="preserve">S x V_exc x F/F_rated (kgf dianggap sama dengan kg)</t>
  </si>
  <si>
    <t xml:space="preserve">[5]</t>
  </si>
  <si>
    <t xml:space="preserve">Sensitivitas absolut</t>
  </si>
  <si>
    <t xml:space="preserve">nV/g</t>
  </si>
  <si>
    <t xml:space="preserve">Pengubah noise ke gram</t>
  </si>
  <si>
    <t xml:space="preserve">2. Rentang ADC</t>
  </si>
  <si>
    <t xml:space="preserve">Skala penuh ADC (+-)</t>
  </si>
  <si>
    <t xml:space="preserve">0,5 x AVDD / gain</t>
  </si>
  <si>
    <t xml:space="preserve">[2] Avia: skala penuh = 0,5 x AVDD / gain</t>
  </si>
  <si>
    <t xml:space="preserve">Pemakaian rentang pada kapasitas penuh</t>
  </si>
  <si>
    <t xml:space="preserve">Saturasi jika &gt; 1</t>
  </si>
  <si>
    <t xml:space="preserve">[2]</t>
  </si>
  <si>
    <t xml:space="preserve">Pemakaian rentang pada beban maksimum</t>
  </si>
  <si>
    <t xml:space="preserve">Pemakaian pada overload aman</t>
  </si>
  <si>
    <t xml:space="preserve">Pemakaian pada overload destruktif</t>
  </si>
  <si>
    <t xml:space="preserve">Status saturasi</t>
  </si>
  <si>
    <t xml:space="preserve">Pada overload destruktif</t>
  </si>
  <si>
    <t xml:space="preserve">3. Common-mode</t>
  </si>
  <si>
    <t xml:space="preserve">Titik tengah jembatan</t>
  </si>
  <si>
    <t xml:space="preserve">Perkiraan: E+/2</t>
  </si>
  <si>
    <t xml:space="preserve">[2] Avia: kisaran common-mode</t>
  </si>
  <si>
    <t xml:space="preserve">Batas bawah</t>
  </si>
  <si>
    <t xml:space="preserve">AGND + 1,2</t>
  </si>
  <si>
    <t xml:space="preserve">[2] Avia</t>
  </si>
  <si>
    <t xml:space="preserve">Batas atas</t>
  </si>
  <si>
    <t xml:space="preserve">AVDD - 1,3</t>
  </si>
  <si>
    <t xml:space="preserve">Status</t>
  </si>
  <si>
    <t xml:space="preserve">4. Hitungan ADC (counts)</t>
  </si>
  <si>
    <t xml:space="preserve">Hitungan pada kapasitas penuh</t>
  </si>
  <si>
    <t xml:space="preserve">count</t>
  </si>
  <si>
    <t xml:space="preserve">Pemakaian x 2^23</t>
  </si>
  <si>
    <t xml:space="preserve">[2] Avia: 24 bit</t>
  </si>
  <si>
    <t xml:space="preserve">Faktor skala ideal</t>
  </si>
  <si>
    <t xml:space="preserve">count/g</t>
  </si>
  <si>
    <t xml:space="preserve">Bandingkan dengan hasil kalibrasi</t>
  </si>
  <si>
    <t xml:space="preserve">LSB ideal</t>
  </si>
  <si>
    <t xml:space="preserve">mg</t>
  </si>
  <si>
    <t xml:space="preserve">Resolusi kuantisasi</t>
  </si>
  <si>
    <t xml:space="preserve">5. Noise</t>
  </si>
  <si>
    <t xml:space="preserve">Noise rms pada laju terpilih</t>
  </si>
  <si>
    <t xml:space="preserve">g rms</t>
  </si>
  <si>
    <t xml:space="preserve">nV / (nV/g)</t>
  </si>
  <si>
    <t xml:space="preserve">[2] Avia: noise masukan</t>
  </si>
  <si>
    <t xml:space="preserve">Noise 10 SPS</t>
  </si>
  <si>
    <t xml:space="preserve">Noise 80 SPS</t>
  </si>
  <si>
    <t xml:space="preserve">Noise dalam count (laju terpilih)</t>
  </si>
  <si>
    <t xml:space="preserve">count rms</t>
  </si>
  <si>
    <t xml:space="preserve">Noise puncak-ke-puncak (6,6 sigma)</t>
  </si>
  <si>
    <t xml:space="preserve">g</t>
  </si>
  <si>
    <t xml:space="preserve">Aturan 6,6 sigma (praktik umum)</t>
  </si>
  <si>
    <t xml:space="preserve">Bit bebas-noise pada beban maksimum</t>
  </si>
  <si>
    <t xml:space="preserve">log2(rentang / p-p)</t>
  </si>
  <si>
    <t xml:space="preserve">6. Rata-rata dan waktu</t>
  </si>
  <si>
    <t xml:space="preserve">Interval sampel</t>
  </si>
  <si>
    <t xml:space="preserve">ms</t>
  </si>
  <si>
    <t xml:space="preserve">[2] Avia: laju data</t>
  </si>
  <si>
    <t xml:space="preserve">Sampel selama tahan</t>
  </si>
  <si>
    <t xml:space="preserve">Waktu pembuangan pembacaan awal</t>
  </si>
  <si>
    <t xml:space="preserve">Noise setelah rata-rata 1 s</t>
  </si>
  <si>
    <t xml:space="preserve">sigma/akar N; hanya jika noise putih</t>
  </si>
  <si>
    <t xml:space="preserve">Rata-rata sampel bebas</t>
  </si>
  <si>
    <t xml:space="preserve">Noise setelah rata-rata selama tahan</t>
  </si>
  <si>
    <t xml:space="preserve">7. Margin beban</t>
  </si>
  <si>
    <t xml:space="preserve">Beban maksimum / kapasitas</t>
  </si>
  <si>
    <t xml:space="preserve">Batas aman mekanis</t>
  </si>
  <si>
    <t xml:space="preserve">Konservatif</t>
  </si>
  <si>
    <t xml:space="preserve">[6] overload aman</t>
  </si>
  <si>
    <t xml:space="preserve">Margin terhadap batas aman</t>
  </si>
  <si>
    <t xml:space="preserve">[6]</t>
  </si>
  <si>
    <t xml:space="preserve">Batas destruktif</t>
  </si>
  <si>
    <t xml:space="preserve">[6] overload destruktif</t>
  </si>
  <si>
    <t xml:space="preserve">Beban maksimum</t>
  </si>
  <si>
    <t xml:space="preserve">kgf x 9,80665</t>
  </si>
  <si>
    <t xml:space="preserve">8. Daya dan arus</t>
  </si>
  <si>
    <t xml:space="preserve">Arus eksitasi jembatan</t>
  </si>
  <si>
    <t xml:space="preserve">V/R</t>
  </si>
  <si>
    <t xml:space="preserve">Hukum Ohm; [6] resistansi masukan</t>
  </si>
  <si>
    <t xml:space="preserve">Arus total jembatan + HX711</t>
  </si>
  <si>
    <t xml:space="preserve">Masukkan ke anggaran daya ESP32</t>
  </si>
  <si>
    <t xml:space="preserve">[2] arus HX711</t>
  </si>
  <si>
    <t xml:space="preserve">Anggaran galat (dalam gram pada kapasitas penuh)</t>
  </si>
  <si>
    <t xml:space="preserve">Kolom "Masuk RSS" (biru, kuning): 1 = ikut digabung, 0 = dihapus oleh tare atau kalibrasi. Ubah sesuai prosedur.</t>
  </si>
  <si>
    <t xml:space="preserve">Sumber galat</t>
  </si>
  <si>
    <t xml:space="preserve">Besar (g)</t>
  </si>
  <si>
    <t xml:space="preserve">Masuk RSS (1/0)</t>
  </si>
  <si>
    <t xml:space="preserve">Dihapus oleh</t>
  </si>
  <si>
    <t xml:space="preserve">Catatan</t>
  </si>
  <si>
    <t xml:space="preserve">Error gabungan load cell</t>
  </si>
  <si>
    <t xml:space="preserve">Linearitas + histeresis + repeatabilitas; nilai Eagle Weigh</t>
  </si>
  <si>
    <t xml:space="preserve">[5] Eagle Weigh</t>
  </si>
  <si>
    <t xml:space="preserve">Tare</t>
  </si>
  <si>
    <t xml:space="preserve">Offset awal</t>
  </si>
  <si>
    <t xml:space="preserve">[6] GJ Impex</t>
  </si>
  <si>
    <t xml:space="preserve">Kalibrasi</t>
  </si>
  <si>
    <t xml:space="preserve">+-0,15/2,0 = 7,5% dari skala</t>
  </si>
  <si>
    <t xml:space="preserve">Efek suhu load cell</t>
  </si>
  <si>
    <t xml:space="preserve">Nol + span, kasus terburuk</t>
  </si>
  <si>
    <t xml:space="preserve">nV/C x dT / (nV/g)</t>
  </si>
  <si>
    <t xml:space="preserve">Noise HX711 (laju terpilih)</t>
  </si>
  <si>
    <t xml:space="preserve">1 sigma</t>
  </si>
  <si>
    <t xml:space="preserve">Creep selama 30 menit</t>
  </si>
  <si>
    <t xml:space="preserve">Durasi tahan beberapa detik</t>
  </si>
  <si>
    <t xml:space="preserve">Tidak relevan untuk genggam 3-5 s; relevan untuk beban kalibrasi lama</t>
  </si>
  <si>
    <t xml:space="preserve">Efek kemiringan housing</t>
  </si>
  <si>
    <t xml:space="preserve">Tare pada postur akhir</t>
  </si>
  <si>
    <t xml:space="preserve">m x (1 - cos teta)</t>
  </si>
  <si>
    <t xml:space="preserve">Asumsi; massa dari blok Mekanik</t>
  </si>
  <si>
    <t xml:space="preserve">Gabungan RSS (yang ikut)</t>
  </si>
  <si>
    <t xml:space="preserve">Akar jumlah kuadrat</t>
  </si>
  <si>
    <t xml:space="preserve">Gabungan sebagai % kapasitas</t>
  </si>
  <si>
    <t xml:space="preserve">Gabungan pada beban tipikal (% pembacaan)</t>
  </si>
  <si>
    <t xml:space="preserve">Beban tipikal dari Input</t>
  </si>
  <si>
    <t xml:space="preserve">Gabungan pada beban maksimum (% pembacaan)</t>
  </si>
  <si>
    <t xml:space="preserve">Catatan: ini batas bawah ketidakpastian. Massa kalibrasi, pemasangan, dan beban off-centre menambah galat dan harus diukur.</t>
  </si>
  <si>
    <t xml:space="preserve">Kalibrasi: regresi linear massa terhadap hitungan ADC</t>
  </si>
  <si>
    <t xml:space="preserve">Legenda: kolom A-B (biru, kuning) diisi dari uji kalibrasi. Data di bawah adalah CONTOH rekaan untuk memperlihatkan format, BUKAN hasil ukur. Hapus dan ganti dengan data Anda.</t>
  </si>
  <si>
    <t xml:space="preserve">Massa (kg)</t>
  </si>
  <si>
    <t xml:space="preserve">Hitungan ADC (rata-rata)</t>
  </si>
  <si>
    <t xml:space="preserve">Prediksi (kg)</t>
  </si>
  <si>
    <t xml:space="preserve">Residu (g)</t>
  </si>
  <si>
    <t xml:space="preserve">Hasil</t>
  </si>
  <si>
    <t xml:space="preserve">Kemiringan (kg per count)</t>
  </si>
  <si>
    <t xml:space="preserve">kg/count</t>
  </si>
  <si>
    <t xml:space="preserve">Faktor skala k</t>
  </si>
  <si>
    <t xml:space="preserve">g/count</t>
  </si>
  <si>
    <t xml:space="preserve">Offset N0 (count pada 0 kg)</t>
  </si>
  <si>
    <t xml:space="preserve">R kuadrat</t>
  </si>
  <si>
    <t xml:space="preserve">Galat baku regresi</t>
  </si>
  <si>
    <t xml:space="preserve">Galat baku kemiringan (relatif)</t>
  </si>
  <si>
    <t xml:space="preserve">Count/g terukur</t>
  </si>
  <si>
    <t xml:space="preserve">Selisih dari faktor ideal (Hitung)</t>
  </si>
  <si>
    <t xml:space="preserve">Cara pakai: W(g) = (N - N0) x k. Tare menyetel N0 ulang sebelum tiap pengukuran. Titik di antara 3-5 massa mati, naik dan turun (histeresis).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</si>
</sst>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"/>
    <numFmt numFmtId="166" formatCode="0.00000"/>
    <numFmt numFmtId="167" formatCode="#,##0"/>
    <numFmt numFmtId="168" formatCode="0"/>
    <numFmt numFmtId="169" formatCode="0.000"/>
    <numFmt numFmtId="170" formatCode="0.00"/>
    <numFmt numFmtId="171" formatCode="0.0000"/>
    <numFmt numFmtId="172" formatCode="0.000%"/>
    <numFmt numFmtId="173" formatCode="0.00%"/>
    <numFmt numFmtId="174" formatCode="0.00E+00"/>
    <numFmt numFmtId="175" formatCode="0.000000"/>
    <numFmt numFmtId="17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2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  <c r="D3" s="3"/>
      <c r="E3" s="3"/>
    </row>
    <row r="4" customFormat="false" ht="15" hidden="false" customHeight="false" outlineLevel="0" collapsed="false">
      <c r="A4" s="5" t="s">
        <v>3</v>
      </c>
      <c r="B4" s="6" t="s">
        <v>4</v>
      </c>
      <c r="C4" s="6" t="s">
        <v>5</v>
      </c>
      <c r="D4" s="5" t="s">
        <v>6</v>
      </c>
      <c r="E4" s="5" t="s">
        <v>7</v>
      </c>
    </row>
    <row r="5" customFormat="false" ht="15" hidden="false" customHeight="false" outlineLevel="0" collapsed="false">
      <c r="A5" s="7" t="s">
        <v>8</v>
      </c>
      <c r="B5" s="8" t="n">
        <f aca="false">Elektrik!$B$8</f>
        <v>70</v>
      </c>
      <c r="C5" s="9" t="s">
        <v>9</v>
      </c>
      <c r="D5" s="7" t="s">
        <v>10</v>
      </c>
      <c r="E5" s="7" t="s">
        <v>11</v>
      </c>
    </row>
    <row r="6" customFormat="false" ht="15" hidden="false" customHeight="false" outlineLevel="0" collapsed="false">
      <c r="A6" s="7" t="s">
        <v>12</v>
      </c>
      <c r="B6" s="10" t="n">
        <f aca="false">Elektrik!$B$30</f>
        <v>9.80665</v>
      </c>
      <c r="C6" s="9" t="s">
        <v>13</v>
      </c>
      <c r="D6" s="7" t="s">
        <v>14</v>
      </c>
      <c r="E6" s="7" t="s">
        <v>15</v>
      </c>
    </row>
    <row r="7" customFormat="false" ht="15" hidden="false" customHeight="false" outlineLevel="0" collapsed="false">
      <c r="A7" s="7" t="s">
        <v>16</v>
      </c>
      <c r="B7" s="11" t="n">
        <v>30</v>
      </c>
      <c r="C7" s="9" t="s">
        <v>17</v>
      </c>
      <c r="D7" s="7" t="s">
        <v>18</v>
      </c>
      <c r="E7" s="7" t="s">
        <v>19</v>
      </c>
    </row>
    <row r="8" customFormat="false" ht="15" hidden="false" customHeight="false" outlineLevel="0" collapsed="false">
      <c r="A8" s="7" t="s">
        <v>20</v>
      </c>
      <c r="B8" s="11" t="n">
        <v>10</v>
      </c>
      <c r="C8" s="9" t="s">
        <v>17</v>
      </c>
      <c r="D8" s="7" t="s">
        <v>21</v>
      </c>
      <c r="E8" s="7" t="s">
        <v>22</v>
      </c>
    </row>
    <row r="9" customFormat="false" ht="15" hidden="false" customHeight="false" outlineLevel="0" collapsed="false">
      <c r="A9" s="7" t="s">
        <v>23</v>
      </c>
      <c r="B9" s="11" t="n">
        <v>170</v>
      </c>
      <c r="C9" s="9" t="s">
        <v>17</v>
      </c>
      <c r="D9" s="7" t="s">
        <v>24</v>
      </c>
      <c r="E9" s="7" t="s">
        <v>25</v>
      </c>
    </row>
    <row r="10" customFormat="false" ht="15" hidden="false" customHeight="false" outlineLevel="0" collapsed="false">
      <c r="A10" s="7" t="s">
        <v>26</v>
      </c>
      <c r="B10" s="12" t="n">
        <v>70000</v>
      </c>
      <c r="C10" s="9" t="s">
        <v>27</v>
      </c>
      <c r="D10" s="7" t="s">
        <v>28</v>
      </c>
      <c r="E10" s="7" t="s">
        <v>29</v>
      </c>
    </row>
    <row r="11" customFormat="false" ht="15" hidden="false" customHeight="false" outlineLevel="0" collapsed="false">
      <c r="A11" s="7" t="s">
        <v>30</v>
      </c>
      <c r="B11" s="13" t="n">
        <v>240</v>
      </c>
      <c r="C11" s="9" t="s">
        <v>27</v>
      </c>
      <c r="D11" s="7" t="s">
        <v>31</v>
      </c>
      <c r="E11" s="7" t="s">
        <v>32</v>
      </c>
    </row>
    <row r="12" customFormat="false" ht="15" hidden="false" customHeight="false" outlineLevel="0" collapsed="false">
      <c r="A12" s="7" t="s">
        <v>33</v>
      </c>
      <c r="B12" s="12" t="n">
        <v>2700</v>
      </c>
      <c r="C12" s="9" t="s">
        <v>34</v>
      </c>
      <c r="D12" s="7" t="s">
        <v>35</v>
      </c>
      <c r="E12" s="7" t="s">
        <v>36</v>
      </c>
    </row>
    <row r="13" customFormat="false" ht="15" hidden="false" customHeight="false" outlineLevel="0" collapsed="false">
      <c r="A13" s="7" t="s">
        <v>37</v>
      </c>
      <c r="B13" s="11" t="n">
        <v>130</v>
      </c>
      <c r="C13" s="9" t="s">
        <v>17</v>
      </c>
      <c r="D13" s="7" t="s">
        <v>38</v>
      </c>
      <c r="E13" s="7" t="s">
        <v>39</v>
      </c>
    </row>
    <row r="14" customFormat="false" ht="15" hidden="false" customHeight="false" outlineLevel="0" collapsed="false">
      <c r="A14" s="7" t="s">
        <v>40</v>
      </c>
      <c r="B14" s="11" t="n">
        <v>21.5</v>
      </c>
      <c r="C14" s="9" t="s">
        <v>17</v>
      </c>
      <c r="D14" s="7" t="s">
        <v>41</v>
      </c>
      <c r="E14" s="7" t="s">
        <v>39</v>
      </c>
    </row>
    <row r="15" customFormat="false" ht="15" hidden="false" customHeight="false" outlineLevel="0" collapsed="false">
      <c r="A15" s="7" t="s">
        <v>42</v>
      </c>
      <c r="B15" s="11" t="n">
        <v>28</v>
      </c>
      <c r="C15" s="9" t="s">
        <v>17</v>
      </c>
      <c r="D15" s="7" t="s">
        <v>43</v>
      </c>
      <c r="E15" s="7" t="s">
        <v>44</v>
      </c>
    </row>
    <row r="16" customFormat="false" ht="15" hidden="false" customHeight="false" outlineLevel="0" collapsed="false">
      <c r="A16" s="7" t="s">
        <v>45</v>
      </c>
      <c r="B16" s="11" t="n">
        <v>6.6</v>
      </c>
      <c r="C16" s="9" t="s">
        <v>17</v>
      </c>
      <c r="D16" s="7" t="s">
        <v>46</v>
      </c>
      <c r="E16" s="7" t="s">
        <v>47</v>
      </c>
    </row>
    <row r="17" customFormat="false" ht="15" hidden="false" customHeight="false" outlineLevel="0" collapsed="false">
      <c r="A17" s="7" t="s">
        <v>48</v>
      </c>
      <c r="B17" s="11" t="n">
        <v>2.5</v>
      </c>
      <c r="C17" s="9" t="s">
        <v>17</v>
      </c>
      <c r="D17" s="7" t="s">
        <v>49</v>
      </c>
      <c r="E17" s="7" t="s">
        <v>50</v>
      </c>
    </row>
    <row r="18" customFormat="false" ht="15" hidden="false" customHeight="false" outlineLevel="0" collapsed="false">
      <c r="A18" s="7" t="s">
        <v>51</v>
      </c>
      <c r="B18" s="11" t="n">
        <v>5</v>
      </c>
      <c r="C18" s="9" t="s">
        <v>17</v>
      </c>
      <c r="D18" s="7" t="s">
        <v>52</v>
      </c>
      <c r="E18" s="7" t="s">
        <v>53</v>
      </c>
    </row>
    <row r="19" customFormat="false" ht="15" hidden="false" customHeight="false" outlineLevel="0" collapsed="false">
      <c r="A19" s="3" t="s">
        <v>54</v>
      </c>
      <c r="B19" s="4"/>
      <c r="C19" s="4"/>
      <c r="D19" s="3"/>
      <c r="E19" s="3"/>
    </row>
    <row r="20" customFormat="false" ht="15" hidden="false" customHeight="false" outlineLevel="0" collapsed="false">
      <c r="A20" s="5" t="s">
        <v>3</v>
      </c>
      <c r="B20" s="6" t="s">
        <v>4</v>
      </c>
      <c r="C20" s="6" t="s">
        <v>5</v>
      </c>
      <c r="D20" s="5" t="s">
        <v>6</v>
      </c>
      <c r="E20" s="5" t="s">
        <v>7</v>
      </c>
    </row>
    <row r="21" customFormat="false" ht="15" hidden="false" customHeight="false" outlineLevel="0" collapsed="false">
      <c r="A21" s="7" t="s">
        <v>55</v>
      </c>
      <c r="B21" s="14" t="n">
        <f aca="false">$B$13/2-$B$15</f>
        <v>37</v>
      </c>
      <c r="C21" s="9" t="s">
        <v>17</v>
      </c>
      <c r="D21" s="7" t="s">
        <v>56</v>
      </c>
      <c r="E21" s="7" t="s">
        <v>57</v>
      </c>
    </row>
    <row r="22" customFormat="false" ht="15" hidden="false" customHeight="false" outlineLevel="0" collapsed="false">
      <c r="A22" s="7" t="s">
        <v>58</v>
      </c>
      <c r="B22" s="14" t="n">
        <f aca="false">$B$13-$B$15</f>
        <v>102</v>
      </c>
      <c r="C22" s="9" t="s">
        <v>17</v>
      </c>
      <c r="D22" s="7" t="s">
        <v>59</v>
      </c>
      <c r="E22" s="7" t="s">
        <v>57</v>
      </c>
    </row>
    <row r="23" customFormat="false" ht="15" hidden="false" customHeight="false" outlineLevel="0" collapsed="false">
      <c r="A23" s="7" t="s">
        <v>60</v>
      </c>
      <c r="B23" s="14" t="n">
        <f aca="false">$B$13-2*$B$15</f>
        <v>74</v>
      </c>
      <c r="C23" s="9" t="s">
        <v>17</v>
      </c>
      <c r="D23" s="7" t="s">
        <v>61</v>
      </c>
      <c r="E23" s="7" t="s">
        <v>25</v>
      </c>
    </row>
    <row r="24" customFormat="false" ht="15" hidden="false" customHeight="false" outlineLevel="0" collapsed="false">
      <c r="A24" s="7" t="s">
        <v>62</v>
      </c>
      <c r="B24" s="14" t="n">
        <f aca="false">$B$5*$B$6</f>
        <v>686.4655</v>
      </c>
      <c r="C24" s="9" t="s">
        <v>63</v>
      </c>
      <c r="D24" s="7" t="s">
        <v>64</v>
      </c>
      <c r="E24" s="7" t="s">
        <v>25</v>
      </c>
    </row>
    <row r="25" customFormat="false" ht="15" hidden="false" customHeight="false" outlineLevel="0" collapsed="false">
      <c r="A25" s="7" t="s">
        <v>65</v>
      </c>
      <c r="B25" s="15" t="n">
        <f aca="false">$B$7*$B$8^3/12</f>
        <v>2500</v>
      </c>
      <c r="C25" s="9" t="s">
        <v>66</v>
      </c>
      <c r="D25" s="7" t="s">
        <v>67</v>
      </c>
      <c r="E25" s="7" t="s">
        <v>25</v>
      </c>
    </row>
    <row r="26" customFormat="false" ht="15" hidden="false" customHeight="false" outlineLevel="0" collapsed="false">
      <c r="A26" s="7" t="s">
        <v>68</v>
      </c>
      <c r="B26" s="16" t="n">
        <f aca="false">$B$24*$B$21^3/(3*$B$10*$B$25)</f>
        <v>0.0662314989933333</v>
      </c>
      <c r="C26" s="9" t="s">
        <v>17</v>
      </c>
      <c r="D26" s="7" t="s">
        <v>69</v>
      </c>
      <c r="E26" s="7" t="s">
        <v>22</v>
      </c>
    </row>
    <row r="27" customFormat="false" ht="15" hidden="false" customHeight="false" outlineLevel="0" collapsed="false">
      <c r="A27" s="7" t="s">
        <v>70</v>
      </c>
      <c r="B27" s="16" t="n">
        <f aca="false">$B$24*$B$21^2*(3*$B$22-$B$21)/(6*$B$10*$B$25)</f>
        <v>0.240760449043333</v>
      </c>
      <c r="C27" s="9" t="s">
        <v>17</v>
      </c>
      <c r="D27" s="7" t="s">
        <v>71</v>
      </c>
      <c r="E27" s="7" t="s">
        <v>22</v>
      </c>
    </row>
    <row r="28" customFormat="false" ht="15" hidden="false" customHeight="false" outlineLevel="0" collapsed="false">
      <c r="A28" s="7" t="s">
        <v>72</v>
      </c>
      <c r="B28" s="14" t="n">
        <f aca="false">$B$24*$B$21*($B$8/2)/$B$25</f>
        <v>50.798447</v>
      </c>
      <c r="C28" s="9" t="s">
        <v>27</v>
      </c>
      <c r="D28" s="7" t="s">
        <v>73</v>
      </c>
      <c r="E28" s="7" t="s">
        <v>25</v>
      </c>
    </row>
    <row r="29" customFormat="false" ht="15" hidden="false" customHeight="false" outlineLevel="0" collapsed="false">
      <c r="A29" s="7" t="s">
        <v>74</v>
      </c>
      <c r="B29" s="14" t="n">
        <f aca="false">$B$28*$B$7/($B$7-2*$B$16)</f>
        <v>90.7115125</v>
      </c>
      <c r="C29" s="9" t="s">
        <v>27</v>
      </c>
      <c r="D29" s="7" t="s">
        <v>75</v>
      </c>
      <c r="E29" s="7" t="s">
        <v>25</v>
      </c>
    </row>
    <row r="30" customFormat="false" ht="15" hidden="false" customHeight="false" outlineLevel="0" collapsed="false">
      <c r="A30" s="7" t="s">
        <v>76</v>
      </c>
      <c r="B30" s="14" t="n">
        <f aca="false">$B$11/$B$29</f>
        <v>2.645750174213</v>
      </c>
      <c r="C30" s="9" t="s">
        <v>77</v>
      </c>
      <c r="D30" s="7" t="s">
        <v>78</v>
      </c>
      <c r="E30" s="7" t="s">
        <v>25</v>
      </c>
    </row>
    <row r="31" customFormat="false" ht="15" hidden="false" customHeight="false" outlineLevel="0" collapsed="false">
      <c r="A31" s="3" t="s">
        <v>79</v>
      </c>
      <c r="B31" s="4"/>
      <c r="C31" s="4"/>
      <c r="D31" s="3"/>
      <c r="E31" s="3"/>
    </row>
    <row r="32" customFormat="false" ht="15" hidden="false" customHeight="false" outlineLevel="0" collapsed="false">
      <c r="A32" s="5" t="s">
        <v>3</v>
      </c>
      <c r="B32" s="6" t="s">
        <v>4</v>
      </c>
      <c r="C32" s="6" t="s">
        <v>5</v>
      </c>
      <c r="D32" s="5" t="s">
        <v>6</v>
      </c>
      <c r="E32" s="5" t="s">
        <v>7</v>
      </c>
    </row>
    <row r="33" customFormat="false" ht="15" hidden="false" customHeight="false" outlineLevel="0" collapsed="false">
      <c r="A33" s="7" t="s">
        <v>80</v>
      </c>
      <c r="B33" s="11" t="n">
        <v>0.5</v>
      </c>
      <c r="C33" s="9" t="s">
        <v>17</v>
      </c>
      <c r="D33" s="7" t="s">
        <v>81</v>
      </c>
      <c r="E33" s="7" t="s">
        <v>82</v>
      </c>
    </row>
    <row r="34" customFormat="false" ht="15" hidden="false" customHeight="false" outlineLevel="0" collapsed="false">
      <c r="A34" s="7" t="s">
        <v>83</v>
      </c>
      <c r="B34" s="11" t="n">
        <v>1</v>
      </c>
      <c r="C34" s="9" t="s">
        <v>17</v>
      </c>
      <c r="D34" s="7" t="s">
        <v>84</v>
      </c>
      <c r="E34" s="7" t="s">
        <v>82</v>
      </c>
    </row>
    <row r="35" customFormat="false" ht="15" hidden="false" customHeight="false" outlineLevel="0" collapsed="false">
      <c r="A35" s="7" t="s">
        <v>85</v>
      </c>
      <c r="B35" s="11" t="n">
        <v>0.3</v>
      </c>
      <c r="C35" s="9" t="s">
        <v>17</v>
      </c>
      <c r="D35" s="7" t="s">
        <v>84</v>
      </c>
      <c r="E35" s="7" t="s">
        <v>82</v>
      </c>
    </row>
    <row r="36" customFormat="false" ht="15" hidden="false" customHeight="false" outlineLevel="0" collapsed="false">
      <c r="A36" s="7" t="s">
        <v>86</v>
      </c>
      <c r="B36" s="17" t="n">
        <f aca="false">$B$27+$B$33+$B$34+$B$35</f>
        <v>2.04076044904333</v>
      </c>
      <c r="C36" s="9" t="s">
        <v>17</v>
      </c>
      <c r="D36" s="7" t="s">
        <v>87</v>
      </c>
      <c r="E36" s="7" t="s">
        <v>82</v>
      </c>
    </row>
    <row r="37" customFormat="false" ht="15" hidden="false" customHeight="false" outlineLevel="0" collapsed="false">
      <c r="A37" s="7" t="s">
        <v>88</v>
      </c>
      <c r="B37" s="17" t="n">
        <f aca="false">$B$17-$B$36</f>
        <v>0.459239550956667</v>
      </c>
      <c r="C37" s="9" t="s">
        <v>17</v>
      </c>
      <c r="D37" s="7" t="s">
        <v>89</v>
      </c>
      <c r="E37" s="7" t="s">
        <v>82</v>
      </c>
    </row>
    <row r="38" customFormat="false" ht="15" hidden="false" customHeight="false" outlineLevel="0" collapsed="false">
      <c r="A38" s="7" t="s">
        <v>90</v>
      </c>
      <c r="B38" s="9" t="str">
        <f aca="false">IF($B$37&gt;0,"AMAN","CELAH TERLAMPAUI")</f>
        <v>AMAN</v>
      </c>
      <c r="C38" s="9" t="s">
        <v>91</v>
      </c>
      <c r="D38" s="7"/>
      <c r="E38" s="7"/>
    </row>
    <row r="39" customFormat="false" ht="15" hidden="false" customHeight="false" outlineLevel="0" collapsed="false">
      <c r="A39" s="3" t="s">
        <v>92</v>
      </c>
      <c r="B39" s="4"/>
      <c r="C39" s="4"/>
      <c r="D39" s="3"/>
      <c r="E39" s="3"/>
    </row>
    <row r="40" customFormat="false" ht="15" hidden="false" customHeight="false" outlineLevel="0" collapsed="false">
      <c r="A40" s="5" t="s">
        <v>3</v>
      </c>
      <c r="B40" s="6" t="s">
        <v>4</v>
      </c>
      <c r="C40" s="6" t="s">
        <v>5</v>
      </c>
      <c r="D40" s="5" t="s">
        <v>6</v>
      </c>
      <c r="E40" s="5" t="s">
        <v>7</v>
      </c>
    </row>
    <row r="41" customFormat="false" ht="15" hidden="false" customHeight="false" outlineLevel="0" collapsed="false">
      <c r="A41" s="7" t="s">
        <v>93</v>
      </c>
      <c r="B41" s="11" t="n">
        <v>28</v>
      </c>
      <c r="C41" s="9" t="s">
        <v>17</v>
      </c>
      <c r="D41" s="7" t="s">
        <v>94</v>
      </c>
      <c r="E41" s="7" t="s">
        <v>95</v>
      </c>
    </row>
    <row r="42" customFormat="false" ht="15" hidden="false" customHeight="false" outlineLevel="0" collapsed="false">
      <c r="A42" s="7" t="s">
        <v>96</v>
      </c>
      <c r="B42" s="11" t="n">
        <v>28</v>
      </c>
      <c r="C42" s="9" t="s">
        <v>17</v>
      </c>
      <c r="D42" s="7" t="s">
        <v>97</v>
      </c>
      <c r="E42" s="7" t="s">
        <v>95</v>
      </c>
    </row>
    <row r="43" customFormat="false" ht="15" hidden="false" customHeight="false" outlineLevel="0" collapsed="false">
      <c r="A43" s="7" t="s">
        <v>98</v>
      </c>
      <c r="B43" s="11" t="n">
        <v>2.5</v>
      </c>
      <c r="C43" s="9" t="s">
        <v>17</v>
      </c>
      <c r="D43" s="7" t="s">
        <v>99</v>
      </c>
      <c r="E43" s="7" t="s">
        <v>100</v>
      </c>
    </row>
    <row r="44" customFormat="false" ht="15" hidden="false" customHeight="false" outlineLevel="0" collapsed="false">
      <c r="A44" s="7" t="s">
        <v>101</v>
      </c>
      <c r="B44" s="11" t="n">
        <v>6.5</v>
      </c>
      <c r="C44" s="9" t="s">
        <v>17</v>
      </c>
      <c r="D44" s="7" t="s">
        <v>102</v>
      </c>
      <c r="E44" s="7" t="s">
        <v>103</v>
      </c>
    </row>
    <row r="45" customFormat="false" ht="15" hidden="false" customHeight="false" outlineLevel="0" collapsed="false">
      <c r="A45" s="7" t="s">
        <v>104</v>
      </c>
      <c r="B45" s="13" t="n">
        <v>2</v>
      </c>
      <c r="C45" s="9" t="s">
        <v>105</v>
      </c>
      <c r="D45" s="7" t="s">
        <v>106</v>
      </c>
      <c r="E45" s="7" t="s">
        <v>100</v>
      </c>
    </row>
    <row r="46" customFormat="false" ht="15" hidden="false" customHeight="false" outlineLevel="0" collapsed="false">
      <c r="A46" s="7" t="s">
        <v>107</v>
      </c>
      <c r="B46" s="12" t="n">
        <v>3000</v>
      </c>
      <c r="C46" s="9" t="s">
        <v>27</v>
      </c>
      <c r="D46" s="7" t="s">
        <v>108</v>
      </c>
      <c r="E46" s="7" t="s">
        <v>109</v>
      </c>
    </row>
    <row r="47" customFormat="false" ht="15" hidden="false" customHeight="false" outlineLevel="0" collapsed="false">
      <c r="A47" s="7" t="s">
        <v>110</v>
      </c>
      <c r="B47" s="14" t="n">
        <f aca="false">$B$41*$B$42-$B$45*PI()/4*$B$44^2</f>
        <v>717.633855192916</v>
      </c>
      <c r="C47" s="9" t="s">
        <v>111</v>
      </c>
      <c r="D47" s="7" t="s">
        <v>112</v>
      </c>
      <c r="E47" s="7" t="s">
        <v>100</v>
      </c>
    </row>
    <row r="48" customFormat="false" ht="15" hidden="false" customHeight="false" outlineLevel="0" collapsed="false">
      <c r="A48" s="7" t="s">
        <v>113</v>
      </c>
      <c r="B48" s="18" t="n">
        <f aca="false">$B$24*$B$43/($B$47*$B$46)</f>
        <v>0.00079713990525092</v>
      </c>
      <c r="C48" s="9" t="s">
        <v>17</v>
      </c>
      <c r="D48" s="7" t="s">
        <v>114</v>
      </c>
      <c r="E48" s="7" t="s">
        <v>100</v>
      </c>
    </row>
    <row r="49" customFormat="false" ht="15" hidden="false" customHeight="false" outlineLevel="0" collapsed="false">
      <c r="A49" s="7" t="s">
        <v>115</v>
      </c>
      <c r="B49" s="17" t="n">
        <f aca="false">$B$24/$B$47</f>
        <v>0.956567886301104</v>
      </c>
      <c r="C49" s="9" t="s">
        <v>27</v>
      </c>
      <c r="D49" s="7" t="s">
        <v>116</v>
      </c>
      <c r="E49" s="7" t="s">
        <v>100</v>
      </c>
    </row>
    <row r="50" customFormat="false" ht="15" hidden="false" customHeight="false" outlineLevel="0" collapsed="false">
      <c r="A50" s="7" t="s">
        <v>117</v>
      </c>
      <c r="B50" s="15" t="n">
        <f aca="false">$B$24*$B$21</f>
        <v>25399.2235</v>
      </c>
      <c r="C50" s="9" t="s">
        <v>118</v>
      </c>
      <c r="D50" s="7" t="s">
        <v>119</v>
      </c>
      <c r="E50" s="7" t="s">
        <v>120</v>
      </c>
    </row>
    <row r="51" customFormat="false" ht="15" hidden="false" customHeight="false" outlineLevel="0" collapsed="false">
      <c r="A51" s="7" t="s">
        <v>121</v>
      </c>
      <c r="B51" s="15" t="n">
        <f aca="false">$B$41*$B$42^2/6</f>
        <v>3658.66666666667</v>
      </c>
      <c r="C51" s="9" t="s">
        <v>122</v>
      </c>
      <c r="D51" s="7" t="s">
        <v>123</v>
      </c>
      <c r="E51" s="7" t="s">
        <v>120</v>
      </c>
    </row>
    <row r="52" customFormat="false" ht="15" hidden="false" customHeight="false" outlineLevel="0" collapsed="false">
      <c r="A52" s="7" t="s">
        <v>124</v>
      </c>
      <c r="B52" s="14" t="n">
        <f aca="false">$B$50/$B$51+$B$49</f>
        <v>7.89877547558682</v>
      </c>
      <c r="C52" s="9" t="s">
        <v>27</v>
      </c>
      <c r="D52" s="7" t="s">
        <v>125</v>
      </c>
      <c r="E52" s="7" t="s">
        <v>120</v>
      </c>
    </row>
    <row r="53" customFormat="false" ht="15" hidden="false" customHeight="false" outlineLevel="0" collapsed="false">
      <c r="A53" s="7" t="s">
        <v>126</v>
      </c>
      <c r="B53" s="11" t="n">
        <v>6</v>
      </c>
      <c r="C53" s="9" t="s">
        <v>17</v>
      </c>
      <c r="D53" s="7" t="s">
        <v>127</v>
      </c>
      <c r="E53" s="7" t="s">
        <v>128</v>
      </c>
    </row>
    <row r="54" customFormat="false" ht="15" hidden="false" customHeight="false" outlineLevel="0" collapsed="false">
      <c r="A54" s="7" t="s">
        <v>129</v>
      </c>
      <c r="B54" s="11" t="n">
        <v>3</v>
      </c>
      <c r="C54" s="9" t="s">
        <v>130</v>
      </c>
      <c r="D54" s="7" t="s">
        <v>131</v>
      </c>
      <c r="E54" s="7" t="s">
        <v>120</v>
      </c>
    </row>
    <row r="55" customFormat="false" ht="15" hidden="false" customHeight="false" outlineLevel="0" collapsed="false">
      <c r="A55" s="7" t="s">
        <v>132</v>
      </c>
      <c r="B55" s="19" t="n">
        <v>0.2</v>
      </c>
      <c r="C55" s="9" t="s">
        <v>91</v>
      </c>
      <c r="D55" s="7" t="s">
        <v>133</v>
      </c>
      <c r="E55" s="7" t="s">
        <v>120</v>
      </c>
    </row>
    <row r="56" customFormat="false" ht="15" hidden="false" customHeight="false" outlineLevel="0" collapsed="false">
      <c r="A56" s="7" t="s">
        <v>134</v>
      </c>
      <c r="B56" s="15" t="n">
        <f aca="false">$B$54*1000/($B$55*$B$53)</f>
        <v>2500</v>
      </c>
      <c r="C56" s="9" t="s">
        <v>63</v>
      </c>
      <c r="D56" s="7" t="s">
        <v>135</v>
      </c>
      <c r="E56" s="7" t="s">
        <v>120</v>
      </c>
    </row>
    <row r="57" customFormat="false" ht="15" hidden="false" customHeight="false" outlineLevel="0" collapsed="false">
      <c r="A57" s="7" t="s">
        <v>136</v>
      </c>
      <c r="B57" s="11" t="n">
        <v>16</v>
      </c>
      <c r="C57" s="9" t="s">
        <v>17</v>
      </c>
      <c r="D57" s="7" t="s">
        <v>137</v>
      </c>
      <c r="E57" s="7" t="s">
        <v>120</v>
      </c>
    </row>
    <row r="58" customFormat="false" ht="15" hidden="false" customHeight="false" outlineLevel="0" collapsed="false">
      <c r="A58" s="7" t="s">
        <v>138</v>
      </c>
      <c r="B58" s="15" t="n">
        <f aca="false">$B$24*$B$21/$B$57</f>
        <v>1587.45146875</v>
      </c>
      <c r="C58" s="9" t="s">
        <v>63</v>
      </c>
      <c r="D58" s="7" t="s">
        <v>139</v>
      </c>
      <c r="E58" s="7" t="s">
        <v>120</v>
      </c>
    </row>
    <row r="59" customFormat="false" ht="15" hidden="false" customHeight="false" outlineLevel="0" collapsed="false">
      <c r="A59" s="7" t="s">
        <v>140</v>
      </c>
      <c r="B59" s="15" t="n">
        <f aca="false">$B$24*($B$21+$B$57)/$B$57</f>
        <v>2273.91696875</v>
      </c>
      <c r="C59" s="9" t="s">
        <v>63</v>
      </c>
      <c r="D59" s="7" t="s">
        <v>141</v>
      </c>
      <c r="E59" s="7" t="s">
        <v>120</v>
      </c>
    </row>
    <row r="60" customFormat="false" ht="15" hidden="false" customHeight="false" outlineLevel="0" collapsed="false">
      <c r="A60" s="7" t="s">
        <v>142</v>
      </c>
      <c r="B60" s="11" t="n">
        <v>5</v>
      </c>
      <c r="C60" s="9" t="s">
        <v>17</v>
      </c>
      <c r="D60" s="7" t="s">
        <v>143</v>
      </c>
      <c r="E60" s="7" t="s">
        <v>120</v>
      </c>
    </row>
    <row r="61" customFormat="false" ht="15" hidden="false" customHeight="false" outlineLevel="0" collapsed="false">
      <c r="A61" s="7" t="s">
        <v>144</v>
      </c>
      <c r="B61" s="14" t="n">
        <f aca="false">$B$59/($B$41*$B$60)</f>
        <v>16.2422640625</v>
      </c>
      <c r="C61" s="9" t="s">
        <v>27</v>
      </c>
      <c r="D61" s="7" t="s">
        <v>145</v>
      </c>
      <c r="E61" s="7" t="s">
        <v>120</v>
      </c>
    </row>
    <row r="62" customFormat="false" ht="15" hidden="false" customHeight="false" outlineLevel="0" collapsed="false">
      <c r="A62" s="7" t="s">
        <v>146</v>
      </c>
      <c r="B62" s="11" t="n">
        <v>25</v>
      </c>
      <c r="C62" s="9" t="s">
        <v>17</v>
      </c>
      <c r="D62" s="7" t="s">
        <v>147</v>
      </c>
      <c r="E62" s="7" t="s">
        <v>148</v>
      </c>
    </row>
    <row r="63" customFormat="false" ht="15" hidden="false" customHeight="false" outlineLevel="0" collapsed="false">
      <c r="A63" s="7" t="s">
        <v>149</v>
      </c>
      <c r="B63" s="11" t="n">
        <v>1.6</v>
      </c>
      <c r="C63" s="9" t="s">
        <v>17</v>
      </c>
      <c r="D63" s="7" t="s">
        <v>150</v>
      </c>
      <c r="E63" s="7" t="s">
        <v>151</v>
      </c>
    </row>
    <row r="64" customFormat="false" ht="15" hidden="false" customHeight="false" outlineLevel="0" collapsed="false">
      <c r="A64" s="7" t="s">
        <v>152</v>
      </c>
      <c r="B64" s="14" t="n">
        <f aca="false">$B$62-$B$63-$B$8-$B$43</f>
        <v>10.9</v>
      </c>
      <c r="C64" s="9" t="s">
        <v>17</v>
      </c>
      <c r="D64" s="7" t="s">
        <v>153</v>
      </c>
      <c r="E64" s="7" t="s">
        <v>53</v>
      </c>
    </row>
    <row r="65" customFormat="false" ht="15" hidden="false" customHeight="false" outlineLevel="0" collapsed="false">
      <c r="A65" s="7" t="s">
        <v>154</v>
      </c>
      <c r="B65" s="14" t="n">
        <f aca="false">$B$64/$B$53</f>
        <v>1.81666666666667</v>
      </c>
      <c r="C65" s="9" t="s">
        <v>77</v>
      </c>
      <c r="D65" s="7" t="s">
        <v>155</v>
      </c>
      <c r="E65" s="7" t="s">
        <v>53</v>
      </c>
    </row>
    <row r="66" customFormat="false" ht="15" hidden="false" customHeight="false" outlineLevel="0" collapsed="false">
      <c r="A66" s="7" t="s">
        <v>156</v>
      </c>
      <c r="B66" s="9" t="str">
        <f aca="false">IF($B$64&lt;$B$14,"AMAN","MENEMBUS")</f>
        <v>AMAN</v>
      </c>
      <c r="C66" s="9" t="s">
        <v>91</v>
      </c>
      <c r="D66" s="7" t="s">
        <v>157</v>
      </c>
      <c r="E66" s="7" t="s">
        <v>53</v>
      </c>
    </row>
    <row r="67" customFormat="false" ht="15" hidden="false" customHeight="false" outlineLevel="0" collapsed="false">
      <c r="A67" s="3" t="s">
        <v>158</v>
      </c>
      <c r="B67" s="4"/>
      <c r="C67" s="4"/>
      <c r="D67" s="3"/>
      <c r="E67" s="3"/>
    </row>
    <row r="68" customFormat="false" ht="15" hidden="false" customHeight="false" outlineLevel="0" collapsed="false">
      <c r="A68" s="5" t="s">
        <v>3</v>
      </c>
      <c r="B68" s="6" t="s">
        <v>4</v>
      </c>
      <c r="C68" s="6" t="s">
        <v>5</v>
      </c>
      <c r="D68" s="5" t="s">
        <v>6</v>
      </c>
      <c r="E68" s="5" t="s">
        <v>7</v>
      </c>
    </row>
    <row r="69" customFormat="false" ht="15" hidden="false" customHeight="false" outlineLevel="0" collapsed="false">
      <c r="A69" s="7" t="s">
        <v>159</v>
      </c>
      <c r="B69" s="14" t="n">
        <f aca="false">2*$B$8+2*$B$43+$B$14+$B$18</f>
        <v>51.5</v>
      </c>
      <c r="C69" s="9" t="s">
        <v>17</v>
      </c>
      <c r="D69" s="7" t="s">
        <v>160</v>
      </c>
      <c r="E69" s="7" t="s">
        <v>53</v>
      </c>
    </row>
    <row r="70" customFormat="false" ht="15" hidden="false" customHeight="false" outlineLevel="0" collapsed="false">
      <c r="A70" s="7" t="s">
        <v>161</v>
      </c>
      <c r="B70" s="16" t="n">
        <f aca="false">$B$7*$B$8*$B$9*$B$12/1000000000</f>
        <v>0.1377</v>
      </c>
      <c r="C70" s="9" t="s">
        <v>162</v>
      </c>
      <c r="D70" s="7" t="s">
        <v>163</v>
      </c>
      <c r="E70" s="7" t="s">
        <v>164</v>
      </c>
    </row>
    <row r="71" customFormat="false" ht="15" hidden="false" customHeight="false" outlineLevel="0" collapsed="false">
      <c r="A71" s="7" t="s">
        <v>165</v>
      </c>
      <c r="B71" s="16" t="n">
        <f aca="false">2*$B$70</f>
        <v>0.2754</v>
      </c>
      <c r="C71" s="9" t="s">
        <v>162</v>
      </c>
      <c r="D71" s="7" t="s">
        <v>166</v>
      </c>
      <c r="E71" s="7" t="s">
        <v>164</v>
      </c>
    </row>
    <row r="72" customFormat="false" ht="23.85" hidden="false" customHeight="false" outlineLevel="0" collapsed="false">
      <c r="A72" s="7" t="s">
        <v>167</v>
      </c>
      <c r="B72" s="20" t="n">
        <f aca="false">$B$70-Elektrik!$B$32</f>
        <v>-0.00230000000000002</v>
      </c>
      <c r="C72" s="9" t="s">
        <v>162</v>
      </c>
      <c r="D72" s="7" t="s">
        <v>168</v>
      </c>
      <c r="E72" s="7" t="s">
        <v>11</v>
      </c>
    </row>
    <row r="73" customFormat="false" ht="15" hidden="false" customHeight="false" outlineLevel="0" collapsed="false">
      <c r="A73" s="7" t="s">
        <v>169</v>
      </c>
      <c r="B73" s="8" t="n">
        <f aca="false">Elektrik!$B$7*Elektrik!$B$20/100</f>
        <v>96</v>
      </c>
      <c r="C73" s="9" t="s">
        <v>9</v>
      </c>
      <c r="D73" s="7" t="s">
        <v>170</v>
      </c>
      <c r="E73" s="7" t="s">
        <v>171</v>
      </c>
    </row>
    <row r="74" customFormat="false" ht="15" hidden="false" customHeight="false" outlineLevel="0" collapsed="false">
      <c r="A74" s="7" t="s">
        <v>172</v>
      </c>
      <c r="B74" s="8" t="n">
        <f aca="false">Elektrik!$B$7*Elektrik!$B$21/100</f>
        <v>120</v>
      </c>
      <c r="C74" s="9" t="s">
        <v>9</v>
      </c>
      <c r="D74" s="7" t="s">
        <v>173</v>
      </c>
      <c r="E74" s="7" t="s">
        <v>171</v>
      </c>
    </row>
    <row r="75" customFormat="false" ht="15" hidden="false" customHeight="false" outlineLevel="0" collapsed="false">
      <c r="A75" s="7" t="s">
        <v>174</v>
      </c>
      <c r="B75" s="17" t="n">
        <f aca="false">$B$5/$B$73</f>
        <v>0.729166666666667</v>
      </c>
      <c r="C75" s="9" t="s">
        <v>77</v>
      </c>
      <c r="D75" s="7" t="s">
        <v>175</v>
      </c>
      <c r="E75" s="7" t="s">
        <v>176</v>
      </c>
    </row>
    <row r="76" customFormat="false" ht="15" hidden="false" customHeight="false" outlineLevel="0" collapsed="false">
      <c r="A76" s="21"/>
      <c r="D76" s="21"/>
      <c r="E76" s="21"/>
    </row>
    <row r="77" customFormat="false" ht="43.25" hidden="false" customHeight="false" outlineLevel="0" collapsed="false">
      <c r="A77" s="22" t="s">
        <v>177</v>
      </c>
      <c r="D77" s="21"/>
      <c r="E77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178</v>
      </c>
    </row>
    <row r="3" customFormat="false" ht="15" hidden="false" customHeight="true" outlineLevel="0" collapsed="false">
      <c r="A3" s="23" t="s">
        <v>179</v>
      </c>
    </row>
    <row r="4" customFormat="false" ht="39.75" hidden="false" customHeight="true" outlineLevel="0" collapsed="false">
      <c r="A4" s="24" t="s">
        <v>180</v>
      </c>
      <c r="B4" s="24"/>
      <c r="C4" s="24"/>
      <c r="D4" s="24"/>
    </row>
    <row r="5" customFormat="false" ht="15" hidden="false" customHeight="true" outlineLevel="0" collapsed="false">
      <c r="A5" s="25" t="s">
        <v>181</v>
      </c>
      <c r="B5" s="25" t="s">
        <v>4</v>
      </c>
      <c r="C5" s="25" t="s">
        <v>5</v>
      </c>
      <c r="D5" s="25" t="s">
        <v>182</v>
      </c>
      <c r="E5" s="25" t="s">
        <v>183</v>
      </c>
    </row>
    <row r="6" customFormat="false" ht="15" hidden="false" customHeight="true" outlineLevel="0" collapsed="false">
      <c r="A6" s="26" t="s">
        <v>184</v>
      </c>
      <c r="B6" s="27" t="n">
        <v>2</v>
      </c>
      <c r="C6" s="26" t="s">
        <v>185</v>
      </c>
      <c r="D6" s="26" t="s">
        <v>186</v>
      </c>
      <c r="E6" s="26" t="s">
        <v>187</v>
      </c>
    </row>
    <row r="7" customFormat="false" ht="15" hidden="false" customHeight="true" outlineLevel="0" collapsed="false">
      <c r="A7" s="26" t="s">
        <v>188</v>
      </c>
      <c r="B7" s="27" t="n">
        <v>80</v>
      </c>
      <c r="C7" s="26" t="s">
        <v>162</v>
      </c>
      <c r="D7" s="26" t="s">
        <v>189</v>
      </c>
      <c r="E7" s="26" t="s">
        <v>187</v>
      </c>
    </row>
    <row r="8" customFormat="false" ht="15" hidden="false" customHeight="true" outlineLevel="0" collapsed="false">
      <c r="A8" s="26" t="s">
        <v>190</v>
      </c>
      <c r="B8" s="27" t="n">
        <v>70</v>
      </c>
      <c r="C8" s="26" t="s">
        <v>9</v>
      </c>
      <c r="D8" s="26" t="s">
        <v>191</v>
      </c>
      <c r="E8" s="26" t="s">
        <v>192</v>
      </c>
    </row>
    <row r="9" customFormat="false" ht="15" hidden="false" customHeight="true" outlineLevel="0" collapsed="false">
      <c r="A9" s="26" t="s">
        <v>193</v>
      </c>
      <c r="B9" s="27" t="n">
        <v>30</v>
      </c>
      <c r="C9" s="26" t="s">
        <v>9</v>
      </c>
      <c r="D9" s="26" t="s">
        <v>194</v>
      </c>
      <c r="E9" s="26" t="s">
        <v>192</v>
      </c>
    </row>
    <row r="10" customFormat="false" ht="15" hidden="false" customHeight="true" outlineLevel="0" collapsed="false">
      <c r="A10" s="26" t="s">
        <v>195</v>
      </c>
      <c r="B10" s="27" t="n">
        <v>400</v>
      </c>
      <c r="C10" s="26" t="s">
        <v>196</v>
      </c>
      <c r="D10" s="26" t="s">
        <v>197</v>
      </c>
      <c r="E10" s="26" t="s">
        <v>198</v>
      </c>
    </row>
    <row r="11" customFormat="false" ht="15" hidden="false" customHeight="true" outlineLevel="0" collapsed="false">
      <c r="A11" s="26" t="s">
        <v>199</v>
      </c>
      <c r="B11" s="27" t="n">
        <v>5</v>
      </c>
      <c r="C11" s="26" t="s">
        <v>200</v>
      </c>
      <c r="D11" s="26" t="s">
        <v>201</v>
      </c>
      <c r="E11" s="26" t="s">
        <v>202</v>
      </c>
    </row>
    <row r="12" customFormat="false" ht="15" hidden="false" customHeight="true" outlineLevel="0" collapsed="false">
      <c r="A12" s="26" t="s">
        <v>203</v>
      </c>
      <c r="B12" s="27" t="n">
        <v>5</v>
      </c>
      <c r="C12" s="26" t="s">
        <v>200</v>
      </c>
      <c r="D12" s="26" t="s">
        <v>204</v>
      </c>
      <c r="E12" s="26" t="s">
        <v>205</v>
      </c>
    </row>
    <row r="13" customFormat="false" ht="15" hidden="false" customHeight="true" outlineLevel="0" collapsed="false">
      <c r="A13" s="26" t="s">
        <v>206</v>
      </c>
      <c r="B13" s="27" t="n">
        <v>128</v>
      </c>
      <c r="C13" s="26" t="s">
        <v>91</v>
      </c>
      <c r="D13" s="26" t="s">
        <v>207</v>
      </c>
      <c r="E13" s="26" t="s">
        <v>208</v>
      </c>
    </row>
    <row r="14" customFormat="false" ht="15" hidden="false" customHeight="true" outlineLevel="0" collapsed="false">
      <c r="A14" s="26" t="s">
        <v>209</v>
      </c>
      <c r="B14" s="27" t="n">
        <v>50</v>
      </c>
      <c r="C14" s="26" t="s">
        <v>210</v>
      </c>
      <c r="D14" s="26" t="s">
        <v>211</v>
      </c>
      <c r="E14" s="26" t="s">
        <v>208</v>
      </c>
    </row>
    <row r="15" customFormat="false" ht="15" hidden="false" customHeight="true" outlineLevel="0" collapsed="false">
      <c r="A15" s="26" t="s">
        <v>212</v>
      </c>
      <c r="B15" s="27" t="n">
        <v>90</v>
      </c>
      <c r="C15" s="26" t="s">
        <v>210</v>
      </c>
      <c r="D15" s="26" t="s">
        <v>211</v>
      </c>
      <c r="E15" s="26" t="s">
        <v>208</v>
      </c>
    </row>
    <row r="16" customFormat="false" ht="15" hidden="false" customHeight="true" outlineLevel="0" collapsed="false">
      <c r="A16" s="26" t="s">
        <v>213</v>
      </c>
      <c r="B16" s="27" t="n">
        <v>10</v>
      </c>
      <c r="C16" s="26" t="s">
        <v>214</v>
      </c>
      <c r="D16" s="26" t="s">
        <v>215</v>
      </c>
      <c r="E16" s="26" t="s">
        <v>208</v>
      </c>
    </row>
    <row r="17" customFormat="false" ht="15" hidden="false" customHeight="true" outlineLevel="0" collapsed="false">
      <c r="A17" s="26" t="s">
        <v>216</v>
      </c>
      <c r="B17" s="27" t="n">
        <v>24</v>
      </c>
      <c r="C17" s="26" t="s">
        <v>217</v>
      </c>
      <c r="D17" s="26" t="s">
        <v>218</v>
      </c>
      <c r="E17" s="26" t="s">
        <v>208</v>
      </c>
    </row>
    <row r="18" customFormat="false" ht="15" hidden="false" customHeight="true" outlineLevel="0" collapsed="false">
      <c r="A18" s="26" t="s">
        <v>219</v>
      </c>
      <c r="B18" s="27" t="n">
        <v>1.2</v>
      </c>
      <c r="C18" s="26" t="s">
        <v>200</v>
      </c>
      <c r="D18" s="26" t="s">
        <v>220</v>
      </c>
      <c r="E18" s="26" t="s">
        <v>208</v>
      </c>
    </row>
    <row r="19" customFormat="false" ht="15" hidden="false" customHeight="true" outlineLevel="0" collapsed="false">
      <c r="A19" s="26" t="s">
        <v>221</v>
      </c>
      <c r="B19" s="27" t="n">
        <v>1.3</v>
      </c>
      <c r="C19" s="26" t="s">
        <v>200</v>
      </c>
      <c r="D19" s="26" t="s">
        <v>222</v>
      </c>
      <c r="E19" s="26" t="s">
        <v>208</v>
      </c>
    </row>
    <row r="20" customFormat="false" ht="15" hidden="false" customHeight="true" outlineLevel="0" collapsed="false">
      <c r="A20" s="26" t="s">
        <v>223</v>
      </c>
      <c r="B20" s="27" t="n">
        <v>120</v>
      </c>
      <c r="C20" s="26" t="s">
        <v>224</v>
      </c>
      <c r="D20" s="26" t="s">
        <v>225</v>
      </c>
      <c r="E20" s="26" t="s">
        <v>198</v>
      </c>
    </row>
    <row r="21" customFormat="false" ht="15" hidden="false" customHeight="true" outlineLevel="0" collapsed="false">
      <c r="A21" s="26" t="s">
        <v>226</v>
      </c>
      <c r="B21" s="27" t="n">
        <v>150</v>
      </c>
      <c r="C21" s="26" t="s">
        <v>224</v>
      </c>
      <c r="D21" s="26" t="s">
        <v>227</v>
      </c>
      <c r="E21" s="26" t="s">
        <v>198</v>
      </c>
    </row>
    <row r="22" customFormat="false" ht="15" hidden="false" customHeight="true" outlineLevel="0" collapsed="false">
      <c r="A22" s="26" t="s">
        <v>228</v>
      </c>
      <c r="B22" s="27" t="n">
        <v>0.03</v>
      </c>
      <c r="C22" s="26" t="s">
        <v>229</v>
      </c>
      <c r="D22" s="26" t="s">
        <v>230</v>
      </c>
      <c r="E22" s="26" t="s">
        <v>187</v>
      </c>
    </row>
    <row r="23" customFormat="false" ht="15" hidden="false" customHeight="true" outlineLevel="0" collapsed="false">
      <c r="A23" s="26" t="s">
        <v>231</v>
      </c>
      <c r="B23" s="27" t="n">
        <v>0.025</v>
      </c>
      <c r="C23" s="26" t="s">
        <v>232</v>
      </c>
      <c r="D23" s="26" t="s">
        <v>233</v>
      </c>
      <c r="E23" s="26" t="s">
        <v>234</v>
      </c>
    </row>
    <row r="24" customFormat="false" ht="15" hidden="false" customHeight="true" outlineLevel="0" collapsed="false">
      <c r="A24" s="26" t="s">
        <v>235</v>
      </c>
      <c r="B24" s="27" t="n">
        <v>1</v>
      </c>
      <c r="C24" s="26" t="s">
        <v>224</v>
      </c>
      <c r="D24" s="26" t="s">
        <v>236</v>
      </c>
      <c r="E24" s="26" t="s">
        <v>234</v>
      </c>
    </row>
    <row r="25" customFormat="false" ht="15" hidden="false" customHeight="true" outlineLevel="0" collapsed="false">
      <c r="A25" s="26" t="s">
        <v>237</v>
      </c>
      <c r="B25" s="27" t="n">
        <v>0.15</v>
      </c>
      <c r="C25" s="26" t="s">
        <v>185</v>
      </c>
      <c r="D25" s="26" t="s">
        <v>189</v>
      </c>
      <c r="E25" s="26" t="s">
        <v>187</v>
      </c>
    </row>
    <row r="26" customFormat="false" ht="15" hidden="false" customHeight="true" outlineLevel="0" collapsed="false">
      <c r="A26" s="26" t="s">
        <v>238</v>
      </c>
      <c r="B26" s="27" t="n">
        <v>0.03</v>
      </c>
      <c r="C26" s="26" t="s">
        <v>239</v>
      </c>
      <c r="D26" s="26" t="s">
        <v>240</v>
      </c>
      <c r="E26" s="26" t="s">
        <v>234</v>
      </c>
    </row>
    <row r="27" customFormat="false" ht="15" hidden="false" customHeight="true" outlineLevel="0" collapsed="false">
      <c r="A27" s="26" t="s">
        <v>241</v>
      </c>
      <c r="B27" s="27" t="n">
        <v>10</v>
      </c>
      <c r="C27" s="26" t="s">
        <v>242</v>
      </c>
      <c r="D27" s="26" t="s">
        <v>243</v>
      </c>
      <c r="E27" s="26" t="s">
        <v>243</v>
      </c>
    </row>
    <row r="28" customFormat="false" ht="15" hidden="false" customHeight="true" outlineLevel="0" collapsed="false">
      <c r="A28" s="26" t="s">
        <v>244</v>
      </c>
      <c r="B28" s="27" t="n">
        <v>6</v>
      </c>
      <c r="C28" s="26" t="s">
        <v>245</v>
      </c>
      <c r="D28" s="26" t="s">
        <v>218</v>
      </c>
      <c r="E28" s="26" t="s">
        <v>208</v>
      </c>
    </row>
    <row r="29" customFormat="false" ht="15" hidden="false" customHeight="true" outlineLevel="0" collapsed="false">
      <c r="A29" s="26" t="s">
        <v>246</v>
      </c>
      <c r="B29" s="27" t="n">
        <v>1.5</v>
      </c>
      <c r="C29" s="26" t="s">
        <v>247</v>
      </c>
      <c r="D29" s="26" t="s">
        <v>248</v>
      </c>
      <c r="E29" s="26" t="s">
        <v>208</v>
      </c>
    </row>
    <row r="30" customFormat="false" ht="15" hidden="false" customHeight="true" outlineLevel="0" collapsed="false">
      <c r="A30" s="26" t="s">
        <v>12</v>
      </c>
      <c r="B30" s="27" t="n">
        <v>9.80665</v>
      </c>
      <c r="C30" s="26" t="s">
        <v>13</v>
      </c>
      <c r="D30" s="26" t="s">
        <v>15</v>
      </c>
      <c r="E30" s="26" t="s">
        <v>249</v>
      </c>
    </row>
    <row r="31" customFormat="false" ht="15" hidden="false" customHeight="true" outlineLevel="0" collapsed="false">
      <c r="A31" s="26" t="s">
        <v>250</v>
      </c>
      <c r="B31" s="27" t="n">
        <v>4</v>
      </c>
      <c r="C31" s="26" t="s">
        <v>251</v>
      </c>
      <c r="D31" s="26" t="s">
        <v>252</v>
      </c>
      <c r="E31" s="26" t="s">
        <v>253</v>
      </c>
    </row>
    <row r="32" customFormat="false" ht="15" hidden="false" customHeight="true" outlineLevel="0" collapsed="false">
      <c r="A32" s="26" t="s">
        <v>254</v>
      </c>
      <c r="B32" s="27" t="n">
        <v>0.14</v>
      </c>
      <c r="C32" s="26" t="s">
        <v>162</v>
      </c>
      <c r="D32" s="26" t="s">
        <v>255</v>
      </c>
      <c r="E32" s="26" t="s">
        <v>256</v>
      </c>
    </row>
    <row r="33" customFormat="false" ht="15" hidden="false" customHeight="true" outlineLevel="0" collapsed="false">
      <c r="A33" s="26" t="s">
        <v>257</v>
      </c>
      <c r="B33" s="27" t="n">
        <v>90</v>
      </c>
      <c r="C33" s="26" t="s">
        <v>258</v>
      </c>
      <c r="D33" s="26" t="s">
        <v>259</v>
      </c>
      <c r="E33" s="26" t="s">
        <v>243</v>
      </c>
    </row>
    <row r="34" customFormat="false" ht="15" hidden="false" customHeight="true" outlineLevel="0" collapsed="false">
      <c r="A34" s="26" t="s">
        <v>260</v>
      </c>
      <c r="B34" s="27" t="n">
        <v>4</v>
      </c>
      <c r="C34" s="26" t="s">
        <v>261</v>
      </c>
      <c r="D34" s="26" t="s">
        <v>262</v>
      </c>
      <c r="E34" s="26" t="s">
        <v>243</v>
      </c>
    </row>
    <row r="37" customFormat="false" ht="15" hidden="false" customHeight="true" outlineLevel="0" collapsed="false">
      <c r="A37" s="23" t="s">
        <v>263</v>
      </c>
    </row>
    <row r="38" customFormat="false" ht="15" hidden="false" customHeight="true" outlineLevel="0" collapsed="false">
      <c r="A38" s="25" t="s">
        <v>3</v>
      </c>
      <c r="B38" s="25" t="s">
        <v>4</v>
      </c>
      <c r="C38" s="25" t="s">
        <v>5</v>
      </c>
      <c r="D38" s="25" t="s">
        <v>264</v>
      </c>
      <c r="E38" s="25" t="s">
        <v>7</v>
      </c>
    </row>
    <row r="39" customFormat="false" ht="15" hidden="false" customHeight="true" outlineLevel="0" collapsed="false">
      <c r="A39" s="28" t="s">
        <v>265</v>
      </c>
      <c r="B39" s="29"/>
      <c r="C39" s="29"/>
      <c r="D39" s="29"/>
    </row>
    <row r="40" customFormat="false" ht="15" hidden="false" customHeight="true" outlineLevel="0" collapsed="false">
      <c r="A40" s="26" t="s">
        <v>266</v>
      </c>
      <c r="B40" s="30" t="n">
        <f aca="false">$B$6*$B$11</f>
        <v>10</v>
      </c>
      <c r="C40" s="26" t="s">
        <v>267</v>
      </c>
      <c r="D40" s="26" t="s">
        <v>268</v>
      </c>
      <c r="E40" s="26" t="s">
        <v>269</v>
      </c>
    </row>
    <row r="41" customFormat="false" ht="15" hidden="false" customHeight="true" outlineLevel="0" collapsed="false">
      <c r="A41" s="26" t="s">
        <v>270</v>
      </c>
      <c r="B41" s="30" t="n">
        <f aca="false">B40*$B$8/$B$7</f>
        <v>8.75</v>
      </c>
      <c r="C41" s="26" t="s">
        <v>267</v>
      </c>
      <c r="D41" s="26" t="s">
        <v>271</v>
      </c>
      <c r="E41" s="26" t="s">
        <v>272</v>
      </c>
    </row>
    <row r="42" customFormat="false" ht="15" hidden="false" customHeight="true" outlineLevel="0" collapsed="false">
      <c r="A42" s="26" t="s">
        <v>273</v>
      </c>
      <c r="B42" s="30" t="n">
        <f aca="false">B40*1000000/($B$7*1000)</f>
        <v>125</v>
      </c>
      <c r="C42" s="26" t="s">
        <v>274</v>
      </c>
      <c r="D42" s="26" t="s">
        <v>275</v>
      </c>
      <c r="E42" s="26" t="s">
        <v>272</v>
      </c>
    </row>
    <row r="43" customFormat="false" ht="15" hidden="false" customHeight="true" outlineLevel="0" collapsed="false">
      <c r="A43" s="28" t="s">
        <v>276</v>
      </c>
      <c r="B43" s="29"/>
      <c r="C43" s="29"/>
      <c r="D43" s="29"/>
    </row>
    <row r="44" customFormat="false" ht="15" hidden="false" customHeight="true" outlineLevel="0" collapsed="false">
      <c r="A44" s="26" t="s">
        <v>277</v>
      </c>
      <c r="B44" s="30" t="n">
        <f aca="false">1000*0.5*$B$12/$B$13</f>
        <v>19.53125</v>
      </c>
      <c r="C44" s="26" t="s">
        <v>267</v>
      </c>
      <c r="D44" s="26" t="s">
        <v>278</v>
      </c>
      <c r="E44" s="26" t="s">
        <v>279</v>
      </c>
    </row>
    <row r="45" customFormat="false" ht="15" hidden="false" customHeight="true" outlineLevel="0" collapsed="false">
      <c r="A45" s="26" t="s">
        <v>280</v>
      </c>
      <c r="B45" s="30" t="n">
        <f aca="false">B40/B44</f>
        <v>0.512</v>
      </c>
      <c r="C45" s="26" t="s">
        <v>91</v>
      </c>
      <c r="D45" s="26" t="s">
        <v>281</v>
      </c>
      <c r="E45" s="26" t="s">
        <v>282</v>
      </c>
    </row>
    <row r="46" customFormat="false" ht="15" hidden="false" customHeight="true" outlineLevel="0" collapsed="false">
      <c r="A46" s="26" t="s">
        <v>283</v>
      </c>
      <c r="B46" s="30" t="n">
        <f aca="false">B41/B44</f>
        <v>0.448</v>
      </c>
      <c r="C46" s="26" t="s">
        <v>91</v>
      </c>
      <c r="D46" s="26"/>
      <c r="E46" s="26" t="s">
        <v>282</v>
      </c>
    </row>
    <row r="47" customFormat="false" ht="15" hidden="false" customHeight="true" outlineLevel="0" collapsed="false">
      <c r="A47" s="26" t="s">
        <v>284</v>
      </c>
      <c r="B47" s="30" t="n">
        <f aca="false">B45*$B$20/100</f>
        <v>0.6144</v>
      </c>
      <c r="C47" s="26" t="s">
        <v>91</v>
      </c>
      <c r="D47" s="26"/>
      <c r="E47" s="26" t="s">
        <v>282</v>
      </c>
    </row>
    <row r="48" customFormat="false" ht="15" hidden="false" customHeight="true" outlineLevel="0" collapsed="false">
      <c r="A48" s="26" t="s">
        <v>285</v>
      </c>
      <c r="B48" s="30" t="n">
        <f aca="false">B45*$B$21/100</f>
        <v>0.768</v>
      </c>
      <c r="C48" s="26" t="s">
        <v>91</v>
      </c>
      <c r="D48" s="26"/>
      <c r="E48" s="26" t="s">
        <v>282</v>
      </c>
    </row>
    <row r="49" customFormat="false" ht="15" hidden="false" customHeight="true" outlineLevel="0" collapsed="false">
      <c r="A49" s="26" t="s">
        <v>286</v>
      </c>
      <c r="B49" s="30" t="str">
        <f aca="false">IF(B48&lt;1,"AMAN","SATURASI")</f>
        <v>AMAN</v>
      </c>
      <c r="C49" s="26" t="s">
        <v>91</v>
      </c>
      <c r="D49" s="26" t="s">
        <v>287</v>
      </c>
      <c r="E49" s="26" t="s">
        <v>282</v>
      </c>
    </row>
    <row r="50" customFormat="false" ht="15" hidden="false" customHeight="true" outlineLevel="0" collapsed="false">
      <c r="A50" s="28" t="s">
        <v>288</v>
      </c>
      <c r="B50" s="29"/>
      <c r="C50" s="29"/>
      <c r="D50" s="29"/>
    </row>
    <row r="51" customFormat="false" ht="15" hidden="false" customHeight="true" outlineLevel="0" collapsed="false">
      <c r="A51" s="26" t="s">
        <v>289</v>
      </c>
      <c r="B51" s="30" t="n">
        <f aca="false">$B$11/2</f>
        <v>2.5</v>
      </c>
      <c r="C51" s="26" t="s">
        <v>200</v>
      </c>
      <c r="D51" s="26" t="s">
        <v>290</v>
      </c>
      <c r="E51" s="26" t="s">
        <v>291</v>
      </c>
    </row>
    <row r="52" customFormat="false" ht="15" hidden="false" customHeight="true" outlineLevel="0" collapsed="false">
      <c r="A52" s="26" t="s">
        <v>292</v>
      </c>
      <c r="B52" s="30" t="n">
        <f aca="false">$B$18</f>
        <v>1.2</v>
      </c>
      <c r="C52" s="26" t="s">
        <v>200</v>
      </c>
      <c r="D52" s="26" t="s">
        <v>293</v>
      </c>
      <c r="E52" s="26" t="s">
        <v>294</v>
      </c>
    </row>
    <row r="53" customFormat="false" ht="15" hidden="false" customHeight="true" outlineLevel="0" collapsed="false">
      <c r="A53" s="26" t="s">
        <v>295</v>
      </c>
      <c r="B53" s="30" t="n">
        <f aca="false">$B$12-$B$19</f>
        <v>3.7</v>
      </c>
      <c r="C53" s="26" t="s">
        <v>200</v>
      </c>
      <c r="D53" s="26" t="s">
        <v>296</v>
      </c>
      <c r="E53" s="26" t="s">
        <v>294</v>
      </c>
    </row>
    <row r="54" customFormat="false" ht="15" hidden="false" customHeight="true" outlineLevel="0" collapsed="false">
      <c r="A54" s="26" t="s">
        <v>297</v>
      </c>
      <c r="B54" s="30" t="str">
        <f aca="false">IF(AND(B51&gt;=B52,B51&lt;=B53),"LULUS","CEK")</f>
        <v>LULUS</v>
      </c>
      <c r="C54" s="26" t="s">
        <v>91</v>
      </c>
      <c r="D54" s="26"/>
      <c r="E54" s="26" t="s">
        <v>282</v>
      </c>
    </row>
    <row r="55" customFormat="false" ht="15" hidden="false" customHeight="true" outlineLevel="0" collapsed="false">
      <c r="A55" s="28" t="s">
        <v>298</v>
      </c>
      <c r="B55" s="29"/>
      <c r="C55" s="29"/>
      <c r="D55" s="29"/>
    </row>
    <row r="56" customFormat="false" ht="15" hidden="false" customHeight="true" outlineLevel="0" collapsed="false">
      <c r="A56" s="26" t="s">
        <v>299</v>
      </c>
      <c r="B56" s="31" t="n">
        <f aca="false">B45*2^($B$17-1)</f>
        <v>4294967.296</v>
      </c>
      <c r="C56" s="26" t="s">
        <v>300</v>
      </c>
      <c r="D56" s="26" t="s">
        <v>301</v>
      </c>
      <c r="E56" s="26" t="s">
        <v>302</v>
      </c>
    </row>
    <row r="57" customFormat="false" ht="15" hidden="false" customHeight="true" outlineLevel="0" collapsed="false">
      <c r="A57" s="26" t="s">
        <v>303</v>
      </c>
      <c r="B57" s="30" t="n">
        <f aca="false">B56/($B$7*1000)</f>
        <v>53.6870912</v>
      </c>
      <c r="C57" s="26" t="s">
        <v>304</v>
      </c>
      <c r="D57" s="26" t="s">
        <v>305</v>
      </c>
      <c r="E57" s="26" t="s">
        <v>282</v>
      </c>
    </row>
    <row r="58" customFormat="false" ht="15" hidden="false" customHeight="true" outlineLevel="0" collapsed="false">
      <c r="A58" s="26" t="s">
        <v>306</v>
      </c>
      <c r="B58" s="30" t="n">
        <f aca="false">1000/B57</f>
        <v>18.6264514923096</v>
      </c>
      <c r="C58" s="26" t="s">
        <v>307</v>
      </c>
      <c r="D58" s="26" t="s">
        <v>308</v>
      </c>
      <c r="E58" s="26" t="s">
        <v>282</v>
      </c>
    </row>
    <row r="59" customFormat="false" ht="15" hidden="false" customHeight="true" outlineLevel="0" collapsed="false">
      <c r="A59" s="28" t="s">
        <v>309</v>
      </c>
      <c r="B59" s="29"/>
      <c r="C59" s="29"/>
      <c r="D59" s="29"/>
    </row>
    <row r="60" customFormat="false" ht="15" hidden="false" customHeight="true" outlineLevel="0" collapsed="false">
      <c r="A60" s="26" t="s">
        <v>310</v>
      </c>
      <c r="B60" s="30" t="n">
        <f aca="false">IF($B$16=80,$B$15,$B$14)/B42</f>
        <v>0.4</v>
      </c>
      <c r="C60" s="26" t="s">
        <v>311</v>
      </c>
      <c r="D60" s="26" t="s">
        <v>312</v>
      </c>
      <c r="E60" s="26" t="s">
        <v>313</v>
      </c>
    </row>
    <row r="61" customFormat="false" ht="15" hidden="false" customHeight="true" outlineLevel="0" collapsed="false">
      <c r="A61" s="26" t="s">
        <v>314</v>
      </c>
      <c r="B61" s="30" t="n">
        <f aca="false">$B$14/B42</f>
        <v>0.4</v>
      </c>
      <c r="C61" s="26" t="s">
        <v>311</v>
      </c>
      <c r="D61" s="26"/>
      <c r="E61" s="26" t="s">
        <v>282</v>
      </c>
    </row>
    <row r="62" customFormat="false" ht="15" hidden="false" customHeight="true" outlineLevel="0" collapsed="false">
      <c r="A62" s="26" t="s">
        <v>315</v>
      </c>
      <c r="B62" s="30" t="n">
        <f aca="false">$B$15/B42</f>
        <v>0.72</v>
      </c>
      <c r="C62" s="26" t="s">
        <v>311</v>
      </c>
      <c r="D62" s="26"/>
      <c r="E62" s="26" t="s">
        <v>282</v>
      </c>
    </row>
    <row r="63" customFormat="false" ht="15" hidden="false" customHeight="true" outlineLevel="0" collapsed="false">
      <c r="A63" s="26" t="s">
        <v>316</v>
      </c>
      <c r="B63" s="30" t="n">
        <f aca="false">B60*B57</f>
        <v>21.47483648</v>
      </c>
      <c r="C63" s="26" t="s">
        <v>317</v>
      </c>
      <c r="D63" s="26"/>
      <c r="E63" s="26" t="s">
        <v>282</v>
      </c>
    </row>
    <row r="64" customFormat="false" ht="15" hidden="false" customHeight="true" outlineLevel="0" collapsed="false">
      <c r="A64" s="26" t="s">
        <v>318</v>
      </c>
      <c r="B64" s="30" t="n">
        <f aca="false">6.6*B60</f>
        <v>2.64</v>
      </c>
      <c r="C64" s="26" t="s">
        <v>319</v>
      </c>
      <c r="D64" s="26"/>
      <c r="E64" s="26" t="s">
        <v>320</v>
      </c>
    </row>
    <row r="65" customFormat="false" ht="15" hidden="false" customHeight="true" outlineLevel="0" collapsed="false">
      <c r="A65" s="26" t="s">
        <v>321</v>
      </c>
      <c r="B65" s="30" t="n">
        <f aca="false">LOG($B$8*1000/B64,2)</f>
        <v>14.6945293720233</v>
      </c>
      <c r="C65" s="26" t="s">
        <v>217</v>
      </c>
      <c r="D65" s="26" t="s">
        <v>322</v>
      </c>
      <c r="E65" s="26" t="s">
        <v>282</v>
      </c>
    </row>
    <row r="66" customFormat="false" ht="15" hidden="false" customHeight="true" outlineLevel="0" collapsed="false">
      <c r="A66" s="28" t="s">
        <v>323</v>
      </c>
      <c r="B66" s="29"/>
      <c r="C66" s="29"/>
      <c r="D66" s="29"/>
    </row>
    <row r="67" customFormat="false" ht="15" hidden="false" customHeight="true" outlineLevel="0" collapsed="false">
      <c r="A67" s="26" t="s">
        <v>324</v>
      </c>
      <c r="B67" s="32" t="n">
        <f aca="false">1000/$B$16</f>
        <v>100</v>
      </c>
      <c r="C67" s="26" t="s">
        <v>325</v>
      </c>
      <c r="D67" s="26"/>
      <c r="E67" s="26" t="s">
        <v>326</v>
      </c>
    </row>
    <row r="68" customFormat="false" ht="15" hidden="false" customHeight="true" outlineLevel="0" collapsed="false">
      <c r="A68" s="26" t="s">
        <v>327</v>
      </c>
      <c r="B68" s="33" t="n">
        <f aca="false">$B$16*$B$31</f>
        <v>40</v>
      </c>
      <c r="C68" s="26" t="s">
        <v>261</v>
      </c>
      <c r="D68" s="26"/>
      <c r="E68" s="26" t="s">
        <v>91</v>
      </c>
    </row>
    <row r="69" customFormat="false" ht="15" hidden="false" customHeight="true" outlineLevel="0" collapsed="false">
      <c r="A69" s="26" t="s">
        <v>328</v>
      </c>
      <c r="B69" s="33" t="n">
        <f aca="false">$B$34*B67</f>
        <v>400</v>
      </c>
      <c r="C69" s="26" t="s">
        <v>325</v>
      </c>
      <c r="D69" s="26"/>
      <c r="E69" s="26" t="s">
        <v>91</v>
      </c>
    </row>
    <row r="70" customFormat="false" ht="15" hidden="false" customHeight="true" outlineLevel="0" collapsed="false">
      <c r="A70" s="26" t="s">
        <v>329</v>
      </c>
      <c r="B70" s="30" t="n">
        <f aca="false">B60/SQRT($B$16)</f>
        <v>0.126491106406735</v>
      </c>
      <c r="C70" s="26" t="s">
        <v>311</v>
      </c>
      <c r="D70" s="26" t="s">
        <v>330</v>
      </c>
      <c r="E70" s="26" t="s">
        <v>331</v>
      </c>
    </row>
    <row r="71" customFormat="false" ht="15" hidden="false" customHeight="true" outlineLevel="0" collapsed="false">
      <c r="A71" s="26" t="s">
        <v>332</v>
      </c>
      <c r="B71" s="30" t="n">
        <f aca="false">B60/SQRT(B68)</f>
        <v>0.0632455532033676</v>
      </c>
      <c r="C71" s="26" t="s">
        <v>311</v>
      </c>
      <c r="D71" s="26"/>
      <c r="E71" s="26" t="s">
        <v>91</v>
      </c>
    </row>
    <row r="72" customFormat="false" ht="15" hidden="false" customHeight="true" outlineLevel="0" collapsed="false">
      <c r="A72" s="28" t="s">
        <v>333</v>
      </c>
      <c r="B72" s="29"/>
      <c r="C72" s="29"/>
      <c r="D72" s="29"/>
    </row>
    <row r="73" customFormat="false" ht="15" hidden="false" customHeight="true" outlineLevel="0" collapsed="false">
      <c r="A73" s="26" t="s">
        <v>334</v>
      </c>
      <c r="B73" s="30" t="n">
        <f aca="false">$B$8/$B$7</f>
        <v>0.875</v>
      </c>
      <c r="C73" s="26" t="s">
        <v>91</v>
      </c>
      <c r="D73" s="26"/>
      <c r="E73" s="26" t="s">
        <v>272</v>
      </c>
    </row>
    <row r="74" customFormat="false" ht="15" hidden="false" customHeight="true" outlineLevel="0" collapsed="false">
      <c r="A74" s="26" t="s">
        <v>335</v>
      </c>
      <c r="B74" s="30" t="n">
        <f aca="false">$B$7*$B$20/100</f>
        <v>96</v>
      </c>
      <c r="C74" s="26" t="s">
        <v>9</v>
      </c>
      <c r="D74" s="26" t="s">
        <v>336</v>
      </c>
      <c r="E74" s="26" t="s">
        <v>337</v>
      </c>
    </row>
    <row r="75" customFormat="false" ht="15" hidden="false" customHeight="true" outlineLevel="0" collapsed="false">
      <c r="A75" s="26" t="s">
        <v>338</v>
      </c>
      <c r="B75" s="30" t="n">
        <f aca="false">B74/$B$8</f>
        <v>1.37142857142857</v>
      </c>
      <c r="C75" s="26" t="s">
        <v>77</v>
      </c>
      <c r="D75" s="26"/>
      <c r="E75" s="26" t="s">
        <v>339</v>
      </c>
    </row>
    <row r="76" customFormat="false" ht="15" hidden="false" customHeight="true" outlineLevel="0" collapsed="false">
      <c r="A76" s="26" t="s">
        <v>340</v>
      </c>
      <c r="B76" s="30" t="n">
        <f aca="false">$B$7*$B$21/100</f>
        <v>120</v>
      </c>
      <c r="C76" s="26" t="s">
        <v>9</v>
      </c>
      <c r="D76" s="26"/>
      <c r="E76" s="26" t="s">
        <v>341</v>
      </c>
    </row>
    <row r="77" customFormat="false" ht="15" hidden="false" customHeight="true" outlineLevel="0" collapsed="false">
      <c r="A77" s="26" t="s">
        <v>342</v>
      </c>
      <c r="B77" s="30" t="n">
        <f aca="false">$B$8*$B$30</f>
        <v>686.4655</v>
      </c>
      <c r="C77" s="26" t="s">
        <v>63</v>
      </c>
      <c r="D77" s="26" t="s">
        <v>343</v>
      </c>
      <c r="E77" s="26" t="s">
        <v>15</v>
      </c>
    </row>
    <row r="78" customFormat="false" ht="15" hidden="false" customHeight="true" outlineLevel="0" collapsed="false">
      <c r="A78" s="28" t="s">
        <v>344</v>
      </c>
      <c r="B78" s="29"/>
      <c r="C78" s="29"/>
      <c r="D78" s="29"/>
    </row>
    <row r="79" customFormat="false" ht="15" hidden="false" customHeight="true" outlineLevel="0" collapsed="false">
      <c r="A79" s="26" t="s">
        <v>345</v>
      </c>
      <c r="B79" s="30" t="n">
        <f aca="false">$B$11/$B$10*1000</f>
        <v>12.5</v>
      </c>
      <c r="C79" s="26" t="s">
        <v>247</v>
      </c>
      <c r="D79" s="26" t="s">
        <v>346</v>
      </c>
      <c r="E79" s="26" t="s">
        <v>347</v>
      </c>
    </row>
    <row r="80" customFormat="false" ht="15" hidden="false" customHeight="true" outlineLevel="0" collapsed="false">
      <c r="A80" s="26" t="s">
        <v>348</v>
      </c>
      <c r="B80" s="30" t="n">
        <f aca="false">B79+$B$29</f>
        <v>14</v>
      </c>
      <c r="C80" s="26" t="s">
        <v>247</v>
      </c>
      <c r="D80" s="26" t="s">
        <v>349</v>
      </c>
      <c r="E80" s="26" t="s">
        <v>350</v>
      </c>
    </row>
    <row r="84" customFormat="false" ht="15" hidden="false" customHeight="true" outlineLevel="0" collapsed="false">
      <c r="A84" s="23" t="s">
        <v>351</v>
      </c>
    </row>
    <row r="85" customFormat="false" ht="15" hidden="false" customHeight="true" outlineLevel="0" collapsed="false">
      <c r="A85" s="34" t="s">
        <v>352</v>
      </c>
    </row>
    <row r="86" customFormat="false" ht="15" hidden="false" customHeight="true" outlineLevel="0" collapsed="false">
      <c r="A86" s="25" t="s">
        <v>353</v>
      </c>
      <c r="B86" s="25" t="s">
        <v>354</v>
      </c>
      <c r="C86" s="25" t="s">
        <v>355</v>
      </c>
      <c r="D86" s="25" t="s">
        <v>356</v>
      </c>
      <c r="E86" s="25" t="s">
        <v>357</v>
      </c>
      <c r="F86" s="25" t="s">
        <v>7</v>
      </c>
    </row>
    <row r="87" customFormat="false" ht="15" hidden="false" customHeight="true" outlineLevel="0" collapsed="false">
      <c r="A87" s="26" t="s">
        <v>358</v>
      </c>
      <c r="B87" s="35" t="n">
        <f aca="false">$B$7*1000*$B$22/100</f>
        <v>24</v>
      </c>
      <c r="C87" s="27" t="n">
        <v>1</v>
      </c>
      <c r="D87" s="26" t="s">
        <v>91</v>
      </c>
      <c r="E87" s="26" t="s">
        <v>359</v>
      </c>
      <c r="F87" s="26" t="s">
        <v>360</v>
      </c>
    </row>
    <row r="88" customFormat="false" ht="15" hidden="false" customHeight="true" outlineLevel="0" collapsed="false">
      <c r="A88" s="26" t="s">
        <v>235</v>
      </c>
      <c r="B88" s="35" t="n">
        <f aca="false">$B$7*1000*$B$24/100</f>
        <v>800</v>
      </c>
      <c r="C88" s="27" t="n">
        <v>0</v>
      </c>
      <c r="D88" s="26" t="s">
        <v>361</v>
      </c>
      <c r="E88" s="26" t="s">
        <v>362</v>
      </c>
      <c r="F88" s="26" t="s">
        <v>363</v>
      </c>
    </row>
    <row r="89" customFormat="false" ht="15" hidden="false" customHeight="true" outlineLevel="0" collapsed="false">
      <c r="A89" s="26" t="s">
        <v>237</v>
      </c>
      <c r="B89" s="35" t="n">
        <f aca="false">$B$7*1000*$B$25/$B$6</f>
        <v>6000</v>
      </c>
      <c r="C89" s="27" t="n">
        <v>0</v>
      </c>
      <c r="D89" s="26" t="s">
        <v>364</v>
      </c>
      <c r="E89" s="26" t="s">
        <v>365</v>
      </c>
      <c r="F89" s="26" t="s">
        <v>360</v>
      </c>
    </row>
    <row r="90" customFormat="false" ht="15" hidden="false" customHeight="true" outlineLevel="0" collapsed="false">
      <c r="A90" s="26" t="s">
        <v>366</v>
      </c>
      <c r="B90" s="35" t="n">
        <f aca="false">$B$7*1000*$B$26/100*$B$27/10</f>
        <v>24</v>
      </c>
      <c r="C90" s="27" t="n">
        <v>1</v>
      </c>
      <c r="D90" s="26" t="s">
        <v>91</v>
      </c>
      <c r="E90" s="26" t="s">
        <v>367</v>
      </c>
      <c r="F90" s="26" t="s">
        <v>363</v>
      </c>
    </row>
    <row r="91" customFormat="false" ht="15" hidden="false" customHeight="true" outlineLevel="0" collapsed="false">
      <c r="A91" s="26" t="s">
        <v>244</v>
      </c>
      <c r="B91" s="35" t="n">
        <f aca="false">$B$28*$B$27/B42</f>
        <v>0.48</v>
      </c>
      <c r="C91" s="27" t="n">
        <v>1</v>
      </c>
      <c r="D91" s="26" t="s">
        <v>91</v>
      </c>
      <c r="E91" s="26" t="s">
        <v>368</v>
      </c>
      <c r="F91" s="26" t="s">
        <v>294</v>
      </c>
    </row>
    <row r="92" customFormat="false" ht="15" hidden="false" customHeight="true" outlineLevel="0" collapsed="false">
      <c r="A92" s="26" t="s">
        <v>369</v>
      </c>
      <c r="B92" s="35" t="n">
        <f aca="false">B60</f>
        <v>0.4</v>
      </c>
      <c r="C92" s="27" t="n">
        <v>1</v>
      </c>
      <c r="D92" s="26" t="s">
        <v>91</v>
      </c>
      <c r="E92" s="26" t="s">
        <v>370</v>
      </c>
      <c r="F92" s="26" t="s">
        <v>294</v>
      </c>
    </row>
    <row r="93" customFormat="false" ht="15" hidden="false" customHeight="true" outlineLevel="0" collapsed="false">
      <c r="A93" s="26" t="s">
        <v>371</v>
      </c>
      <c r="B93" s="35" t="n">
        <f aca="false">$B$7*1000*$B$23/100</f>
        <v>20</v>
      </c>
      <c r="C93" s="27" t="n">
        <v>0</v>
      </c>
      <c r="D93" s="26" t="s">
        <v>372</v>
      </c>
      <c r="E93" s="26" t="s">
        <v>373</v>
      </c>
      <c r="F93" s="26" t="s">
        <v>363</v>
      </c>
    </row>
    <row r="94" customFormat="false" ht="15" hidden="false" customHeight="true" outlineLevel="0" collapsed="false">
      <c r="A94" s="26" t="s">
        <v>374</v>
      </c>
      <c r="B94" s="35" t="n">
        <f aca="false">$B$32*(1-COS(RADIANS($B$33)))*1000</f>
        <v>140</v>
      </c>
      <c r="C94" s="27" t="n">
        <v>0</v>
      </c>
      <c r="D94" s="26" t="s">
        <v>375</v>
      </c>
      <c r="E94" s="26" t="s">
        <v>376</v>
      </c>
      <c r="F94" s="26" t="s">
        <v>377</v>
      </c>
    </row>
    <row r="96" customFormat="false" ht="15" hidden="false" customHeight="true" outlineLevel="0" collapsed="false">
      <c r="A96" s="36" t="s">
        <v>378</v>
      </c>
      <c r="B96" s="35" t="n">
        <f aca="false">SQRT(SUMPRODUCT(C87:C94,B87:B94^2))</f>
        <v>33.9468761449415</v>
      </c>
      <c r="C96" s="26"/>
      <c r="D96" s="26"/>
      <c r="E96" s="26" t="s">
        <v>379</v>
      </c>
    </row>
    <row r="97" customFormat="false" ht="15" hidden="false" customHeight="true" outlineLevel="0" collapsed="false">
      <c r="A97" s="26" t="s">
        <v>380</v>
      </c>
      <c r="B97" s="37" t="n">
        <f aca="false">B96/($B$7*1000)</f>
        <v>0.000424335951811769</v>
      </c>
      <c r="C97" s="26"/>
      <c r="D97" s="26"/>
      <c r="E97" s="26"/>
    </row>
    <row r="98" customFormat="false" ht="15" hidden="false" customHeight="true" outlineLevel="0" collapsed="false">
      <c r="A98" s="26" t="s">
        <v>381</v>
      </c>
      <c r="B98" s="38" t="n">
        <f aca="false">B96/($B$9*1000)</f>
        <v>0.00113156253816472</v>
      </c>
      <c r="C98" s="26"/>
      <c r="D98" s="26"/>
      <c r="E98" s="26" t="s">
        <v>382</v>
      </c>
    </row>
    <row r="99" customFormat="false" ht="23.25" hidden="false" customHeight="true" outlineLevel="0" collapsed="false">
      <c r="A99" s="26" t="s">
        <v>383</v>
      </c>
      <c r="B99" s="38" t="n">
        <f aca="false">B96/($B$8*1000)</f>
        <v>0.000484955373499165</v>
      </c>
      <c r="C99" s="26"/>
      <c r="D99" s="26"/>
      <c r="E99" s="26"/>
    </row>
    <row r="101" customFormat="false" ht="15" hidden="false" customHeight="true" outlineLevel="0" collapsed="false">
      <c r="A101" s="34" t="s">
        <v>384</v>
      </c>
    </row>
    <row r="105" customFormat="false" ht="15" hidden="false" customHeight="true" outlineLevel="0" collapsed="false">
      <c r="A105" s="23" t="s">
        <v>385</v>
      </c>
    </row>
    <row r="106" customFormat="false" ht="39.75" hidden="false" customHeight="true" outlineLevel="0" collapsed="false">
      <c r="A106" s="24" t="s">
        <v>386</v>
      </c>
      <c r="B106" s="24"/>
      <c r="C106" s="24"/>
      <c r="D106" s="24"/>
      <c r="E106" s="24"/>
    </row>
    <row r="107" customFormat="false" ht="15" hidden="false" customHeight="true" outlineLevel="0" collapsed="false">
      <c r="A107" s="25" t="s">
        <v>387</v>
      </c>
      <c r="B107" s="25" t="s">
        <v>388</v>
      </c>
      <c r="C107" s="25" t="s">
        <v>389</v>
      </c>
      <c r="D107" s="25" t="s">
        <v>390</v>
      </c>
    </row>
    <row r="108" customFormat="false" ht="15" hidden="false" customHeight="true" outlineLevel="0" collapsed="false">
      <c r="A108" s="39" t="n">
        <v>0</v>
      </c>
      <c r="B108" s="39" t="n">
        <v>120040</v>
      </c>
      <c r="C108" s="40" t="n">
        <f aca="false">($B108-$G$111)*$G$110/1000</f>
        <v>-0.000794647593831797</v>
      </c>
      <c r="D108" s="41" t="n">
        <f aca="false">(C108-A108)*1000</f>
        <v>-0.794647593831797</v>
      </c>
      <c r="F108" s="42" t="s">
        <v>391</v>
      </c>
      <c r="G108" s="42" t="s">
        <v>4</v>
      </c>
      <c r="H108" s="42" t="s">
        <v>5</v>
      </c>
    </row>
    <row r="109" customFormat="false" ht="15" hidden="false" customHeight="true" outlineLevel="0" collapsed="false">
      <c r="A109" s="39" t="n">
        <v>5</v>
      </c>
      <c r="B109" s="39" t="n">
        <v>388520</v>
      </c>
      <c r="C109" s="40" t="n">
        <f aca="false">($B109-$G$111)*$G$110/1000</f>
        <v>5.00013406605483</v>
      </c>
      <c r="D109" s="41" t="n">
        <f aca="false">(C109-A109)*1000</f>
        <v>0.134066054830129</v>
      </c>
      <c r="F109" s="43" t="s">
        <v>392</v>
      </c>
      <c r="G109" s="44" t="n">
        <f aca="false">SLOPE($A$108:$A$113,$B$108:$B$113)</f>
        <v>1.8626820298155E-005</v>
      </c>
      <c r="H109" s="43" t="s">
        <v>393</v>
      </c>
    </row>
    <row r="110" customFormat="false" ht="15" hidden="false" customHeight="true" outlineLevel="0" collapsed="false">
      <c r="A110" s="39" t="n">
        <v>10</v>
      </c>
      <c r="B110" s="39" t="n">
        <v>657010</v>
      </c>
      <c r="C110" s="40" t="n">
        <f aca="false">($B110-$G$111)*$G$110/1000</f>
        <v>10.0012490479065</v>
      </c>
      <c r="D110" s="41" t="n">
        <f aca="false">(C110-A110)*1000</f>
        <v>1.24904790647484</v>
      </c>
      <c r="F110" s="43" t="s">
        <v>394</v>
      </c>
      <c r="G110" s="45" t="n">
        <f aca="false">G109*1000</f>
        <v>0.018626820298155</v>
      </c>
      <c r="H110" s="43" t="s">
        <v>395</v>
      </c>
    </row>
    <row r="111" customFormat="false" ht="15" hidden="false" customHeight="true" outlineLevel="0" collapsed="false">
      <c r="A111" s="39" t="n">
        <v>15</v>
      </c>
      <c r="B111" s="39" t="n">
        <v>925350</v>
      </c>
      <c r="C111" s="40" t="n">
        <f aca="false">($B111-$G$111)*$G$110/1000</f>
        <v>14.9995700067134</v>
      </c>
      <c r="D111" s="41" t="n">
        <f aca="false">(C111-A111)*1000</f>
        <v>-0.4299932866072</v>
      </c>
      <c r="F111" s="43" t="s">
        <v>396</v>
      </c>
      <c r="G111" s="46" t="n">
        <f aca="false">-INTERCEPT($A$108:$A$113,$B$108:$B$113)/SLOPE($A$108:$A$113,$B$108:$B$113)</f>
        <v>120082.66147314</v>
      </c>
      <c r="H111" s="43" t="s">
        <v>300</v>
      </c>
    </row>
    <row r="112" customFormat="false" ht="15" hidden="false" customHeight="true" outlineLevel="0" collapsed="false">
      <c r="A112" s="39" t="n">
        <v>20</v>
      </c>
      <c r="B112" s="39" t="n">
        <v>1193890</v>
      </c>
      <c r="C112" s="40" t="n">
        <f aca="false">($B112-$G$111)*$G$110/1000</f>
        <v>20.0016163295799</v>
      </c>
      <c r="D112" s="41" t="n">
        <f aca="false">(C112-A112)*1000</f>
        <v>1.61632957994584</v>
      </c>
      <c r="F112" s="43" t="s">
        <v>397</v>
      </c>
      <c r="G112" s="47" t="n">
        <f aca="false">RSQ($A$108:$A$113,$B$108:$B$113)</f>
        <v>0.999999977954326</v>
      </c>
      <c r="H112" s="43" t="s">
        <v>91</v>
      </c>
    </row>
    <row r="113" customFormat="false" ht="15" hidden="false" customHeight="true" outlineLevel="0" collapsed="false">
      <c r="A113" s="39" t="n">
        <v>22</v>
      </c>
      <c r="B113" s="39" t="n">
        <v>1301080</v>
      </c>
      <c r="C113" s="40" t="n">
        <f aca="false">($B113-$G$111)*$G$110/1000</f>
        <v>21.9982251973392</v>
      </c>
      <c r="D113" s="41" t="n">
        <f aca="false">(C113-A113)*1000</f>
        <v>-1.77480266081531</v>
      </c>
      <c r="F113" s="43" t="s">
        <v>398</v>
      </c>
      <c r="G113" s="41" t="n">
        <f aca="false">STEYX($A$108:$A$113,$B$108:$B$113)*1000</f>
        <v>1.42801428428969</v>
      </c>
      <c r="H113" s="43" t="s">
        <v>319</v>
      </c>
    </row>
    <row r="114" customFormat="false" ht="15" hidden="false" customHeight="true" outlineLevel="0" collapsed="false">
      <c r="F114" s="43" t="s">
        <v>399</v>
      </c>
      <c r="G114" s="44" t="n">
        <f aca="false">INDEX(LINEST($A$108:$A$113,$B$108:$B$113,TRUE(),TRUE()),2,1)/SLOPE($A$108:$A$113,$B$108:$B$113)</f>
        <v>7.42389284688662E-005</v>
      </c>
      <c r="H114" s="43" t="s">
        <v>91</v>
      </c>
    </row>
    <row r="115" customFormat="false" ht="15" hidden="false" customHeight="true" outlineLevel="0" collapsed="false">
      <c r="F115" s="43" t="s">
        <v>400</v>
      </c>
      <c r="G115" s="48" t="n">
        <f aca="false">1/(G110)</f>
        <v>53.6860282105717</v>
      </c>
      <c r="H115" s="43" t="s">
        <v>304</v>
      </c>
    </row>
    <row r="116" customFormat="false" ht="15" hidden="false" customHeight="true" outlineLevel="0" collapsed="false">
      <c r="F116" s="43" t="s">
        <v>401</v>
      </c>
      <c r="G116" s="49" t="n">
        <f aca="false">G115/B57-1</f>
        <v>-1.97997210233947E-005</v>
      </c>
      <c r="H116" s="43" t="s">
        <v>91</v>
      </c>
    </row>
    <row r="118" customFormat="false" ht="30" hidden="false" customHeight="true" outlineLevel="0" collapsed="false">
      <c r="A118" s="24" t="s">
        <v>402</v>
      </c>
      <c r="B118" s="24"/>
      <c r="C118" s="24"/>
      <c r="D118" s="24"/>
      <c r="E118" s="24"/>
      <c r="F118" s="24"/>
      <c r="G118" s="24"/>
      <c r="H118" s="24"/>
    </row>
  </sheetData>
  <mergeCells count="3">
    <mergeCell ref="A4:D4"/>
    <mergeCell ref="A106:E106"/>
    <mergeCell ref="A118:H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2026-10-08T01:56:29Z</dcterms:created>
  <dc:creator>openpyxl</dc:creator>
  <dc:description/>
  <dc:language>en-US</dc:language>
  <cp:lastModifiedBy/>
  <dcterms:modified xsi:type="dcterms:W3CDTF">2026-10-13T13:46:21Z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