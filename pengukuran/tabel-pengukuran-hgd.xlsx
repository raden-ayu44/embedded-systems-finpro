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ESP32" sheetId="2" state="visible" r:id="rId4"/>
    <sheet name="LED" sheetId="3" state="visible" r:id="rId5"/>
    <sheet name="Resistor" sheetId="4" state="visible" r:id="rId6"/>
    <sheet name="Tombol" sheetId="5" state="visible" r:id="rId7"/>
    <sheet name="HX711" sheetId="6" state="visible" r:id="rId8"/>
    <sheet name="LCD I2C" sheetId="7" state="visible" r:id="rId9"/>
    <sheet name="Load cell" sheetId="8" state="visible" r:id="rId10"/>
    <sheet name="Baut dan mur" sheetId="9" state="visible" r:id="rId11"/>
    <sheet name="Kabel dan konektor" sheetId="10" state="visible" r:id="rId12"/>
    <sheet name="Hasil cetak" sheetId="11" state="visible" r:id="rId13"/>
    <sheet name="Pelat logam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<sst xmlns="http://schemas.openxmlformats.org/spreadsheetml/2006/main" count="722" uniqueCount="362">
  <si>
    <t xml:space="preserve">Tabel pengukuran jangka sorong (hand grip dynamometer)</t>
  </si>
  <si>
    <t xml:space="preserve">Satu tab per komponen. Dipakai bersama oleh housing grip, housing elektronik, dan layout PCB.</t>
  </si>
  <si>
    <t xml:space="preserve">Legenda: sel BIRU dengan latar KUNING = isi hasil ukur (Ukur 1 sampai 3). Rata-rata, sebaran, dan status dihitung otomatis. Status hanya muncul bila "Acuan resmi (angka)" terisi.</t>
  </si>
  <si>
    <t xml:space="preserve">Cara mengukur: jangka sorong digital (resolusi umumnya 0,01 mm); tutup rahang dan nol-kan sebelum mulai; ukur 3 kali, catat rata-rata dan sebaran.</t>
  </si>
  <si>
    <t xml:space="preserve">Rahang: L = rahang luar (dimensi luar), D = rahang dalam (diameter lubang, lebar celah), K = batang kedalaman (kedalaman, tinggi dari permukaan).</t>
  </si>
  <si>
    <t xml:space="preserve">Jarak pusat-ke-pusat dua lubang berdiameter sama = jarak sisi dalam ke sisi dalam + diameter, atau jarak sisi luar ke sisi luar - diameter. Pitch pin atau header: ukur 10 pitch lalu bagi 10.</t>
  </si>
  <si>
    <t xml:space="preserve">Jangan menekan keras komponen elektronik; ukur dalam keadaan lepas dari daya.</t>
  </si>
  <si>
    <t xml:space="preserve">Nilai CAD = hasil ukur + kelonggaran 0,2-0,3 mm per sisi (lubang M3 dimodelkan 3,4 mm). Footprint PCB memakai ukuran terukur dengan toleransi sesuai pabrik PCB.</t>
  </si>
  <si>
    <t xml:space="preserve">Kolom "Angka resmi" hanya memuat angka dari datasheet atau standar yang disebut di kolom sumber; nomor dalam kurung siku ([4], [6], dan seterusnya) mengikuti daftar pustaka di datasheet/datasheet-library.md. Bila tertulis "belum resmi" atau "umum", angka itu hanya acuan umum sampai datasheetnya diambil. Selalu ukur komponen yang benar-benar dipegang.</t>
  </si>
  <si>
    <t xml:space="preserve">Tag di kolom "Dipakai untuk": [PCB] footprint atau layout PCB, [Housing] cutout atau ruang housing elektronik, [Grip] housing grip dan load cell, [Cetak] pengecekan hasil cetak.</t>
  </si>
  <si>
    <t xml:space="preserve">Nilai resistansi resistor tidak bisa diukur dengan jangka sorong; gunakan multimeter atau kode warna. Baris C9 (resistansi load cell) memakai multimeter, satuan ohm.</t>
  </si>
  <si>
    <t xml:space="preserve">Terisi per 10-12 Okt. 2026: ESP32 (E1-E8, E10), load cell (C1, C5, C7, C9). Sisanya masih kosong.</t>
  </si>
  <si>
    <t xml:space="preserve">Tab</t>
  </si>
  <si>
    <t xml:space="preserve">Komponen</t>
  </si>
  <si>
    <t xml:space="preserve">Nama part resmi</t>
  </si>
  <si>
    <t xml:space="preserve">Datasheet atau dokumen</t>
  </si>
  <si>
    <t xml:space="preserve">Jumlah baris</t>
  </si>
  <si>
    <t xml:space="preserve">ESP32</t>
  </si>
  <si>
    <t xml:space="preserve">ESP32 DevKit V1 (30 pin)</t>
  </si>
  <si>
    <t xml:space="preserve">Papan: DOIT ESP32 DevKit V1; modul di papan: ESP32-WROOM-32D (Espressif)</t>
  </si>
  <si>
    <t xml:space="preserve">DS-ESP1 [7] (datasheet/pdf/ESP32-WROOM-32D_32U_datasheet.pdf); DS-ESP2 [9]; datasheet/datasheet-library.md</t>
  </si>
  <si>
    <t xml:space="preserve">LED</t>
  </si>
  <si>
    <t xml:space="preserve">LED 5 mm diffused</t>
  </si>
  <si>
    <t xml:space="preserve">Belum ada nomor part (LED generik, kemasan 5 mm)</t>
  </si>
  <si>
    <t xml:space="preserve">DS-LED1 belum diambil</t>
  </si>
  <si>
    <t xml:space="preserve">Resistor</t>
  </si>
  <si>
    <t xml:space="preserve">Resistor pembatas LED, axial</t>
  </si>
  <si>
    <t xml:space="preserve">Belum ada nomor part (resistor 100 ohm, 1/4 W, generik)</t>
  </si>
  <si>
    <t xml:space="preserve">DS-RES1 (opsional)</t>
  </si>
  <si>
    <t xml:space="preserve">Tombol</t>
  </si>
  <si>
    <t xml:space="preserve">Tactile push button</t>
  </si>
  <si>
    <t xml:space="preserve">Belum ada nomor part (tactile 6 x 6 mm, THT, generik)</t>
  </si>
  <si>
    <t xml:space="preserve">DS-BTN1 belum diambil</t>
  </si>
  <si>
    <t xml:space="preserve">HX711</t>
  </si>
  <si>
    <t xml:space="preserve">Modul HX711</t>
  </si>
  <si>
    <t xml:space="preserve">Modul XFW-HX711 dengan chip HX711 (Avia Semiconductor)</t>
  </si>
  <si>
    <t xml:space="preserve">DS-HX1 [1] listing, [2] Avia (datasheet/pdf/HX711_datasheet_Avia.pdf), [3]</t>
  </si>
  <si>
    <t xml:space="preserve">LCD I2C</t>
  </si>
  <si>
    <t xml:space="preserve">LCD 1602 dengan backpack I2C</t>
  </si>
  <si>
    <t xml:space="preserve">LCD: HS1602A (Shenzhen Hansheng Industrial); backpack: PCF8574 atau PCF8574A (NXP), penandaan chip belum diperiksa</t>
  </si>
  <si>
    <t xml:space="preserve">DS-LCD1 [11], [12] (datasheet/pdf/HS1602A_datasheet.pdf); DS-I2C1 [13]</t>
  </si>
  <si>
    <t xml:space="preserve">Load cell</t>
  </si>
  <si>
    <t xml:space="preserve">Load cell 80 kg</t>
  </si>
  <si>
    <t xml:space="preserve">CZL601 (Eagle Weigh) / CZL-601 (GJ Impex), kapasitas 80 kg</t>
  </si>
  <si>
    <t xml:space="preserve">DS-LC1 [4] listing, [5] Eagle Weigh, [6] GJ Impex (datasheet/pdf/GJ_Impex_CZL-601_load_cell.pdf, CZL601_Datasheet.pdf)</t>
  </si>
  <si>
    <t xml:space="preserve">Baut dan mur</t>
  </si>
  <si>
    <t xml:space="preserve">Baut, washer, dan mur</t>
  </si>
  <si>
    <t xml:space="preserve">ISO 4017 M6 x 25 kelas 8.8; washer ISO 7089 M6; mur ISO 4032 M6 (bagian modul cetak); M3 untuk bagian modul 3D printing</t>
  </si>
  <si>
    <t xml:space="preserve">DS-MAT3 (ISO 898-1 dan standar dimensi) belum diambil</t>
  </si>
  <si>
    <t xml:space="preserve">Kabel dan konektor</t>
  </si>
  <si>
    <t xml:space="preserve">Kabel USB dan konektor jumper</t>
  </si>
  <si>
    <t xml:space="preserve">Kabel micro-USB (USB 2.0 Micro-B); konektor jumper Dupont 2,54 mm</t>
  </si>
  <si>
    <t xml:space="preserve">Tidak ada datasheet; cangkang plug bervariasi per produsen</t>
  </si>
  <si>
    <t xml:space="preserve">Hasil cetak</t>
  </si>
  <si>
    <t xml:space="preserve">Part hasil cetak 3D</t>
  </si>
  <si>
    <t xml:space="preserve">Bukan komponen beli; spacer PLA dan klem kabel</t>
  </si>
  <si>
    <t xml:space="preserve">housing-load-cell/desain-housing-load-cell.md; housing-load-cell/fusion/</t>
  </si>
  <si>
    <t xml:space="preserve">Pelat logam</t>
  </si>
  <si>
    <t xml:space="preserve">Pelat logam batang A dan B</t>
  </si>
  <si>
    <t xml:space="preserve">Aluminium 6061-T6, 170 x 30 x 10 mm (pesanan)</t>
  </si>
  <si>
    <t xml:space="preserve">DS-MAT1 belum diambil; housing-load-cell/asumsi.md</t>
  </si>
  <si>
    <t xml:space="preserve">Pengukuran: ESP32 DevKit V1 (30 pin)</t>
  </si>
  <si>
    <t xml:space="preserve">Datasheet / dokumen</t>
  </si>
  <si>
    <t xml:space="preserve">Tab ini menampung baris pengukuran komponen di atas. Lihat tab Petunjuk untuk cara mengukur dan legenda.</t>
  </si>
  <si>
    <t xml:space="preserve">ID</t>
  </si>
  <si>
    <t xml:space="preserve">Dimensi yang diukur</t>
  </si>
  <si>
    <t xml:space="preserve">Rahang</t>
  </si>
  <si>
    <t xml:space="preserve">Dipakai untuk</t>
  </si>
  <si>
    <t xml:space="preserve">Nominal / catatan lama</t>
  </si>
  <si>
    <t xml:space="preserve">Angka resmi (teks)</t>
  </si>
  <si>
    <t xml:space="preserve">Sumber angka resmi</t>
  </si>
  <si>
    <t xml:space="preserve">Acuan resmi (angka)</t>
  </si>
  <si>
    <t xml:space="preserve">Toleransi +-</t>
  </si>
  <si>
    <t xml:space="preserve">Ukur 1</t>
  </si>
  <si>
    <t xml:space="preserve">Ukur 2</t>
  </si>
  <si>
    <t xml:space="preserve">Ukur 3</t>
  </si>
  <si>
    <t xml:space="preserve">Rata-rata</t>
  </si>
  <si>
    <t xml:space="preserve">Sebaran</t>
  </si>
  <si>
    <t xml:space="preserve">Status terhadap acuan</t>
  </si>
  <si>
    <t xml:space="preserve">Tanggal ukur</t>
  </si>
  <si>
    <t xml:space="preserve">Catatan hasil</t>
  </si>
  <si>
    <t xml:space="preserve">E1</t>
  </si>
  <si>
    <t xml:space="preserve">Panjang papan PCB (tanpa pin)</t>
  </si>
  <si>
    <t xml:space="preserve">L</t>
  </si>
  <si>
    <t xml:space="preserve">[Housing] outline dan ruang</t>
  </si>
  <si>
    <t xml:space="preserve">Bervariasi antar merek; ukur</t>
  </si>
  <si>
    <t xml:space="preserve">Tidak ada gambar dimensi pabrikan untuk papan V1</t>
  </si>
  <si>
    <t xml:space="preserve">DS-ESP2 (S3 [9] tanpa dimensi)</t>
  </si>
  <si>
    <t xml:space="preserve">10 Okt. 2026</t>
  </si>
  <si>
    <t xml:space="preserve">51,5 (10 Okt. 2026)</t>
  </si>
  <si>
    <t xml:space="preserve">E2</t>
  </si>
  <si>
    <t xml:space="preserve">Lebar papan PCB</t>
  </si>
  <si>
    <t xml:space="preserve">Idem</t>
  </si>
  <si>
    <t xml:space="preserve">28,2</t>
  </si>
  <si>
    <t xml:space="preserve">E3</t>
  </si>
  <si>
    <t xml:space="preserve">Tebal PCB saja</t>
  </si>
  <si>
    <t xml:space="preserve">[Housing] slot atau penahan</t>
  </si>
  <si>
    <t xml:space="preserve">-</t>
  </si>
  <si>
    <t xml:space="preserve">1,0</t>
  </si>
  <si>
    <t xml:space="preserve">E4</t>
  </si>
  <si>
    <t xml:space="preserve">Tinggi total (PCB + modul WROOM + konektor USB, tanpa pin bawah)</t>
  </si>
  <si>
    <t xml:space="preserve">L atau K</t>
  </si>
  <si>
    <t xml:space="preserve">[Housing] kedalaman ruang di bawah lid</t>
  </si>
  <si>
    <t xml:space="preserve">4,2 (PCB + modul WROOM). Dengan pin: total 12,4; papan + pin 9,2; papan + plastik header 3,4; 6,6 di atas bibir soket</t>
  </si>
  <si>
    <t xml:space="preserve">E5</t>
  </si>
  <si>
    <t xml:space="preserve">Jarak antar dua baris header (pusat ke pusat)</t>
  </si>
  <si>
    <t xml:space="preserve">L atau D</t>
  </si>
  <si>
    <t xml:space="preserve">[PCB] footprint header atau socket</t>
  </si>
  <si>
    <t xml:space="preserve">Biasanya kelipatan 2,54 mm; ukur</t>
  </si>
  <si>
    <t xml:space="preserve">Header 2,54 mm (0,1 in) standar; belum ada angka resmi papan</t>
  </si>
  <si>
    <t xml:space="preserve">DS-ESP2</t>
  </si>
  <si>
    <t xml:space="preserve">25,3 (pakai 25,4 untuk soket)</t>
  </si>
  <si>
    <t xml:space="preserve">E6</t>
  </si>
  <si>
    <t xml:space="preserve">Pitch pin header (10 pitch dibagi 10)</t>
  </si>
  <si>
    <t xml:space="preserve">[PCB] footprint</t>
  </si>
  <si>
    <t xml:space="preserve">2,54 mm (umum)</t>
  </si>
  <si>
    <t xml:space="preserve">2,54 mm (standar)</t>
  </si>
  <si>
    <t xml:space="preserve">2,54 (15 pin per baris)</t>
  </si>
  <si>
    <t xml:space="preserve">E7</t>
  </si>
  <si>
    <t xml:space="preserve">Diameter dan panjang pin header</t>
  </si>
  <si>
    <t xml:space="preserve">[PCB] diameter lubang</t>
  </si>
  <si>
    <t xml:space="preserve">Diameter 0,5; ekor pin di bawah plastik 5,8</t>
  </si>
  <si>
    <t xml:space="preserve">E8</t>
  </si>
  <si>
    <t xml:space="preserve">Lebar x tinggi cangkang konektor USB</t>
  </si>
  <si>
    <t xml:space="preserve">[Housing] cutout USB</t>
  </si>
  <si>
    <t xml:space="preserve">2,7 x 5,7 x 7,7 (urutan seperti dicatat; lihat `esp32_dimensi_acuan.xlsx`)</t>
  </si>
  <si>
    <t xml:space="preserve">E9</t>
  </si>
  <si>
    <t xml:space="preserve">Posisi sumbu konektor USB dari tepi papan dan dari permukaan PCB</t>
  </si>
  <si>
    <t xml:space="preserve">[Housing] posisi cutout</t>
  </si>
  <si>
    <t xml:space="preserve">Belum diukur</t>
  </si>
  <si>
    <t xml:space="preserve">E10</t>
  </si>
  <si>
    <t xml:space="preserve">Panjang konektor USB yang menonjol dari tepi papan</t>
  </si>
  <si>
    <t xml:space="preserve">K</t>
  </si>
  <si>
    <t xml:space="preserve">[Housing] kedalaman cutout</t>
  </si>
  <si>
    <t xml:space="preserve">0 (konektor tidak menonjol keluar tepi papan)</t>
  </si>
  <si>
    <t xml:space="preserve">E11</t>
  </si>
  <si>
    <t xml:space="preserve">Lubang mounting papan (jika ada): diameter dan jarak antar lubang</t>
  </si>
  <si>
    <t xml:space="preserve">D</t>
  </si>
  <si>
    <t xml:space="preserve">[PCB] [Housing] tiang mounting</t>
  </si>
  <si>
    <t xml:space="preserve">Banyak DevKit tidak punya; jika tidak ada, pakai socket</t>
  </si>
  <si>
    <t xml:space="preserve">EM1</t>
  </si>
  <si>
    <t xml:space="preserve">Modul WROOM-32D: lebar</t>
  </si>
  <si>
    <t xml:space="preserve">[PCB] [Housing] footprint modul</t>
  </si>
  <si>
    <t xml:space="preserve">18,00 mm</t>
  </si>
  <si>
    <t xml:space="preserve">[7] Gambar 8 (DS-ESP1)</t>
  </si>
  <si>
    <t xml:space="preserve">EM2</t>
  </si>
  <si>
    <t xml:space="preserve">Modul WROOM-32D: panjang</t>
  </si>
  <si>
    <t xml:space="preserve">25,50 mm</t>
  </si>
  <si>
    <t xml:space="preserve">EM3</t>
  </si>
  <si>
    <t xml:space="preserve">Modul WROOM-32D: tebal total</t>
  </si>
  <si>
    <t xml:space="preserve">[Housing] tinggi</t>
  </si>
  <si>
    <t xml:space="preserve">3,10 mm</t>
  </si>
  <si>
    <t xml:space="preserve">[7] gambar sisi (DS-ESP1)</t>
  </si>
  <si>
    <t xml:space="preserve">Hitungan: tebal papan + modul 4,2 mm dikurangi tebal PCB papan 1,0 mm (E3, E4); dalam toleransi datasheet (maks 3,25 mm).</t>
  </si>
  <si>
    <t xml:space="preserve">EM4</t>
  </si>
  <si>
    <t xml:space="preserve">Area antena PCB: lebar x panjang</t>
  </si>
  <si>
    <t xml:space="preserve">[PCB] area bebas tembaga</t>
  </si>
  <si>
    <t xml:space="preserve">18 x 6,19 mm</t>
  </si>
  <si>
    <t xml:space="preserve">[7] Gambar 8 dan 11 (DS-ESP1)</t>
  </si>
  <si>
    <t xml:space="preserve">EM5</t>
  </si>
  <si>
    <t xml:space="preserve">Pelindung logam: lebar x panjang</t>
  </si>
  <si>
    <t xml:space="preserve">[Housing]</t>
  </si>
  <si>
    <t xml:space="preserve">15,8 x 17,6 mm</t>
  </si>
  <si>
    <t xml:space="preserve">EM6</t>
  </si>
  <si>
    <t xml:space="preserve">Pad ground tengah (sisi)</t>
  </si>
  <si>
    <t xml:space="preserve">[PCB]</t>
  </si>
  <si>
    <t xml:space="preserve">3,6 mm</t>
  </si>
  <si>
    <t xml:space="preserve">EM7</t>
  </si>
  <si>
    <t xml:space="preserve">Jumlah pad dan pitch</t>
  </si>
  <si>
    <t xml:space="preserve">38 pad, pitch 1,27 mm</t>
  </si>
  <si>
    <t xml:space="preserve">[7] Gambar 11 (DS-ESP1)</t>
  </si>
  <si>
    <t xml:space="preserve">EM8</t>
  </si>
  <si>
    <t xml:space="preserve">Ukuran pad (pola PCB)</t>
  </si>
  <si>
    <t xml:space="preserve">1,50 x 0,90 mm</t>
  </si>
  <si>
    <t xml:space="preserve">EM9</t>
  </si>
  <si>
    <t xml:space="preserve">Rentang pin 1-14 (pusat ke pusat)</t>
  </si>
  <si>
    <t xml:space="preserve">16,51 mm (= 13 x 1,27)</t>
  </si>
  <si>
    <t xml:space="preserve">EM10</t>
  </si>
  <si>
    <t xml:space="preserve">Rentang pin 15-24 (pusat ke pusat)</t>
  </si>
  <si>
    <t xml:space="preserve">11,43 mm (= 9 x 1,27)</t>
  </si>
  <si>
    <t xml:space="preserve">Pengukuran: LED 5 mm diffused</t>
  </si>
  <si>
    <t xml:space="preserve">L1</t>
  </si>
  <si>
    <t xml:space="preserve">Diameter badan</t>
  </si>
  <si>
    <t xml:space="preserve">[Housing] lubang di lid (tambah 0,2-0,3 mm per sisi)</t>
  </si>
  <si>
    <t xml:space="preserve">5 mm (label)</t>
  </si>
  <si>
    <t xml:space="preserve">5 mm (kemasan T-1 3/4, umum; belum resmi)</t>
  </si>
  <si>
    <t xml:space="preserve">DS-LED1 belum ada</t>
  </si>
  <si>
    <t xml:space="preserve">L2</t>
  </si>
  <si>
    <t xml:space="preserve">Diameter flensa (rim) di dasar</t>
  </si>
  <si>
    <t xml:space="preserve">[Housing] dudukan atau counterbore</t>
  </si>
  <si>
    <t xml:space="preserve">Sedikit di atas 5 mm; ukur</t>
  </si>
  <si>
    <t xml:space="preserve">L3</t>
  </si>
  <si>
    <t xml:space="preserve">Tinggi dari dasar flensa ke puncak</t>
  </si>
  <si>
    <t xml:space="preserve">[Housing] kedalaman dan tonjolan</t>
  </si>
  <si>
    <t xml:space="preserve">L4</t>
  </si>
  <si>
    <t xml:space="preserve">Diameter kaki</t>
  </si>
  <si>
    <t xml:space="preserve">L5</t>
  </si>
  <si>
    <t xml:space="preserve">Jarak antar kaki (pusat ke pusat) di pangkal</t>
  </si>
  <si>
    <t xml:space="preserve">L6</t>
  </si>
  <si>
    <t xml:space="preserve">Panjang kaki (anoda dan katoda)</t>
  </si>
  <si>
    <t xml:space="preserve">[PCB] pembentukan kaki</t>
  </si>
  <si>
    <t xml:space="preserve">Anoda lebih panjang</t>
  </si>
  <si>
    <t xml:space="preserve">Pengukuran: Resistor pembatas LED, axial</t>
  </si>
  <si>
    <t xml:space="preserve">R1</t>
  </si>
  <si>
    <t xml:space="preserve">Panjang badan</t>
  </si>
  <si>
    <t xml:space="preserve">Badan 6,3 x 2,5 mm (DIN 0207, umum; belum resmi)</t>
  </si>
  <si>
    <t xml:space="preserve">DS-RES1 opsional</t>
  </si>
  <si>
    <t xml:space="preserve">R2</t>
  </si>
  <si>
    <t xml:space="preserve">[PCB] jarak antar komponen</t>
  </si>
  <si>
    <t xml:space="preserve">R3</t>
  </si>
  <si>
    <t xml:space="preserve">R4</t>
  </si>
  <si>
    <t xml:space="preserve">Panjang kaki dari badan</t>
  </si>
  <si>
    <t xml:space="preserve">R5</t>
  </si>
  <si>
    <t xml:space="preserve">Jarak antar lubang saat dipasang horizontal (pusat ke pusat)</t>
  </si>
  <si>
    <t xml:space="preserve">Umum 7,62 atau 10,16 mm, bergantung cara menekuk</t>
  </si>
  <si>
    <t xml:space="preserve">Pengukuran: Tactile push button</t>
  </si>
  <si>
    <t xml:space="preserve">B1</t>
  </si>
  <si>
    <t xml:space="preserve">Panjang dan lebar badan</t>
  </si>
  <si>
    <t xml:space="preserve">6 x 5 mm (BOM) atau 6 x 6 mm (catatan lama); ukur</t>
  </si>
  <si>
    <t xml:space="preserve">6 x 6 mm (catatan lama) atau 6 x 5 mm (BOM); belum resmi</t>
  </si>
  <si>
    <t xml:space="preserve">DS-BTN1 belum ada</t>
  </si>
  <si>
    <t xml:space="preserve">B2</t>
  </si>
  <si>
    <t xml:space="preserve">Tinggi badan tanpa tombol</t>
  </si>
  <si>
    <t xml:space="preserve">[PCB] ketinggian di atas board</t>
  </si>
  <si>
    <t xml:space="preserve">B3</t>
  </si>
  <si>
    <t xml:space="preserve">Tinggi total termasuk tombol</t>
  </si>
  <si>
    <t xml:space="preserve">[Housing] panjang tombol atau cutout di lid</t>
  </si>
  <si>
    <t xml:space="preserve">B4</t>
  </si>
  <si>
    <t xml:space="preserve">Diameter tombol (actuator)</t>
  </si>
  <si>
    <t xml:space="preserve">[Housing] lubang di lid</t>
  </si>
  <si>
    <t xml:space="preserve">B5</t>
  </si>
  <si>
    <t xml:space="preserve">Jarak antar pin (pusat ke pusat) dan diameter pin</t>
  </si>
  <si>
    <t xml:space="preserve">Pengukuran: Modul HX711</t>
  </si>
  <si>
    <t xml:space="preserve">H1</t>
  </si>
  <si>
    <t xml:space="preserve">Panjang x lebar PCB</t>
  </si>
  <si>
    <t xml:space="preserve">[Housing] ruang</t>
  </si>
  <si>
    <t xml:space="preserve">24 x 16 mm (foto listing, bukan angka pabrikan)</t>
  </si>
  <si>
    <t xml:space="preserve">DS-HX1 S1 [1]</t>
  </si>
  <si>
    <t xml:space="preserve">H2</t>
  </si>
  <si>
    <t xml:space="preserve">Tebal PCB dan tinggi total (chip, terminal)</t>
  </si>
  <si>
    <t xml:space="preserve">[Housing] kedalaman ruang</t>
  </si>
  <si>
    <t xml:space="preserve">H3</t>
  </si>
  <si>
    <t xml:space="preserve">Diameter dan jarak antar lubang mounting</t>
  </si>
  <si>
    <t xml:space="preserve">[Housing] tiang mounting</t>
  </si>
  <si>
    <t xml:space="preserve">H4</t>
  </si>
  <si>
    <t xml:space="preserve">Pitch dan posisi header (VCC, DT, SCK, GND) dari tepi</t>
  </si>
  <si>
    <t xml:space="preserve">[PCB] footprint header</t>
  </si>
  <si>
    <t xml:space="preserve">Pitch 2,54 mm (umum)</t>
  </si>
  <si>
    <t xml:space="preserve">DS-HX1</t>
  </si>
  <si>
    <t xml:space="preserve">H5</t>
  </si>
  <si>
    <t xml:space="preserve">Posisi terminal load cell (E+, E-, A-, A+) dari tepi</t>
  </si>
  <si>
    <t xml:space="preserve">[Housing] rute kabel</t>
  </si>
  <si>
    <t xml:space="preserve">Pengukuran: LCD 1602 dengan backpack I2C</t>
  </si>
  <si>
    <t xml:space="preserve">D1</t>
  </si>
  <si>
    <t xml:space="preserve">Panjang x lebar PCB LCD</t>
  </si>
  <si>
    <t xml:space="preserve">[Housing] outline dan cutout lid</t>
  </si>
  <si>
    <t xml:space="preserve">Umumnya sekitar 80 x 36 mm; ukur</t>
  </si>
  <si>
    <t xml:space="preserve">80,0 +-0,3 x 36,0 +-0,3 mm</t>
  </si>
  <si>
    <t xml:space="preserve">[12] HS1602A, DS-LCD1; vendor 80 x 36 [11]</t>
  </si>
  <si>
    <t xml:space="preserve">D2</t>
  </si>
  <si>
    <t xml:space="preserve">Tebal total modul (LCD + backpack)</t>
  </si>
  <si>
    <t xml:space="preserve">[Housing] kedalaman</t>
  </si>
  <si>
    <t xml:space="preserve">11,0 mm (maks 12,0 atau 9,0); vendor 15 mm</t>
  </si>
  <si>
    <t xml:space="preserve">[12] HS1602A; [11] vendor</t>
  </si>
  <si>
    <t xml:space="preserve">D3</t>
  </si>
  <si>
    <t xml:space="preserve">Area tampilan (jendela): panjang x lebar dan offset dari tepi PCB</t>
  </si>
  <si>
    <t xml:space="preserve">[Housing] cutout jendela di lid</t>
  </si>
  <si>
    <t xml:space="preserve">Visible area 64,5 x 13,9 mm (gambar 13,8); vendor 64,5 x 16 mm</t>
  </si>
  <si>
    <t xml:space="preserve">D4</t>
  </si>
  <si>
    <t xml:space="preserve">Umumnya sekitar 75 x 31 mm; ukur</t>
  </si>
  <si>
    <t xml:space="preserve">4 x diameter 2,5 mm, jarak 75,0 x 31,0 mm</t>
  </si>
  <si>
    <t xml:space="preserve">[12] HS1602A</t>
  </si>
  <si>
    <t xml:space="preserve">D5</t>
  </si>
  <si>
    <t xml:space="preserve">Tinggi backpack I2C di belakang PCB</t>
  </si>
  <si>
    <t xml:space="preserve">[Housing] clearance</t>
  </si>
  <si>
    <t xml:space="preserve">D6</t>
  </si>
  <si>
    <t xml:space="preserve">Posisi dan pitch header 4 pin (GND, VCC, SDA, SCL) dari tepi</t>
  </si>
  <si>
    <t xml:space="preserve">16 pin 2,54 mm pada modul LCD; header 4 pin backpack tanpa angka resmi</t>
  </si>
  <si>
    <t xml:space="preserve">Pengukuran: Load cell 80 kg</t>
  </si>
  <si>
    <t xml:space="preserve">C1</t>
  </si>
  <si>
    <t xml:space="preserve">Panjang x lebar x tinggi</t>
  </si>
  <si>
    <t xml:space="preserve">[Grip] verifikasi spesifikasi</t>
  </si>
  <si>
    <t xml:space="preserve">130 x 28 x 22 mm (gambar penjual; GJ Impex menulis lebar 30 mm)</t>
  </si>
  <si>
    <t xml:space="preserve">130 x 30 x 22 mm (GJ Impex); 130 x 28 x 22 mm (vendor)</t>
  </si>
  <si>
    <t xml:space="preserve">[6] GJ Impex; [4] vendor</t>
  </si>
  <si>
    <t xml:space="preserve">130 x 28 x 21,5 (10 Okt. 2026)</t>
  </si>
  <si>
    <t xml:space="preserve">C2</t>
  </si>
  <si>
    <t xml:space="preserve">Diameter lubang baut di ujung tetap dan ujung bebas (KRITIS)</t>
  </si>
  <si>
    <t xml:space="preserve">[Grip] lubang baut di pelat dan spacer A dan B</t>
  </si>
  <si>
    <t xml:space="preserve">Ulir M6 (gambar penjual)</t>
  </si>
  <si>
    <t xml:space="preserve">Ulir M6 (vendor)</t>
  </si>
  <si>
    <t xml:space="preserve">[4]</t>
  </si>
  <si>
    <t xml:space="preserve">C3</t>
  </si>
  <si>
    <t xml:space="preserve">Jarak pusat-ke-pusat antar lubang di tiap ujung (KRITIS)</t>
  </si>
  <si>
    <t xml:space="preserve">[Grip] pola lubang</t>
  </si>
  <si>
    <t xml:space="preserve">106 mm antar pasangan, 15 mm melintang (gambar penjual)</t>
  </si>
  <si>
    <t xml:space="preserve">C4</t>
  </si>
  <si>
    <t xml:space="preserve">Jarak pusat lubang dari ujung badan</t>
  </si>
  <si>
    <t xml:space="preserve">K atau L</t>
  </si>
  <si>
    <t xml:space="preserve">[Grip] posisi dan panjang spacer</t>
  </si>
  <si>
    <t xml:space="preserve">12 mm (gambar penjual)</t>
  </si>
  <si>
    <t xml:space="preserve">C5</t>
  </si>
  <si>
    <t xml:space="preserve">Arah panah beban dan sisi (22 atau 28 mm) yang searah panah (KRITIS; catat, bukan ukur)</t>
  </si>
  <si>
    <t xml:space="preserve">[Grip] sisi yang menghadap telapak, tebal total grip</t>
  </si>
  <si>
    <t xml:space="preserve">12 Okt. 2026</t>
  </si>
  <si>
    <t xml:space="preserve">Stiker panah di muka ujung bebas, sepanjang tebal 21,5 mm, menunjuk ke arah B (A di atas), sesuai stiker asli (diperbarui 12 Okt. 2026; sebelumnya tertulis "ke bawah, searah lubang pasang"). Gaya nyata B ke A berlawanan: pembacaan negatif, tanda diatur di firmware</t>
  </si>
  <si>
    <t xml:space="preserve">C6</t>
  </si>
  <si>
    <t xml:space="preserve">Lubang tembus atau buta, polos atau berulir; kedalaman</t>
  </si>
  <si>
    <t xml:space="preserve">K atau D</t>
  </si>
  <si>
    <t xml:space="preserve">[Grip] jenis dan panjang baut</t>
  </si>
  <si>
    <t xml:space="preserve">C7</t>
  </si>
  <si>
    <t xml:space="preserve">Posisi keluar kabel dan diameter kabel</t>
  </si>
  <si>
    <t xml:space="preserve">[Grip] jepit kabel dan jangkauan housing elektronik</t>
  </si>
  <si>
    <t xml:space="preserve">Panjang kabel sekitar 28 cm (listing) atau 0,42 m (GJ Impex), ukur dengan meteran; diameter 4 mm (GJ Impex)</t>
  </si>
  <si>
    <t xml:space="preserve">Kabel diameter 4 mm, 0,42 m (GJ Impex); sekitar 28 cm (vendor)</t>
  </si>
  <si>
    <t xml:space="preserve">[6]; [4]</t>
  </si>
  <si>
    <t xml:space="preserve">11 Okt. 2026</t>
  </si>
  <si>
    <t xml:space="preserve">Diameter 4 mm (11 Okt. 2026). Kabel keluar dari muka samping panjang, tengah tinggi, lewat lubang Ø5 mm dengan pusat 4,2 mm dari ujung (tepi ke arah tengah 6,7 mm). Panjang belum diukur. 4 kabel: merah, hitam, putih, hijau</t>
  </si>
  <si>
    <t xml:space="preserve">C8</t>
  </si>
  <si>
    <t xml:space="preserve">Slot atau lubang di tengah badan (diameter, posisi), jika ada</t>
  </si>
  <si>
    <t xml:space="preserve">[Grip] petunjuk tipe elemen dan kepekaan titik tekan</t>
  </si>
  <si>
    <t xml:space="preserve">C9</t>
  </si>
  <si>
    <t xml:space="preserve">Resistansi antar pasangan kabel (multimeter, rentang 2k; satuan ohm, bukan mm)</t>
  </si>
  <si>
    <t xml:space="preserve">[Grip] [PCB] pemetaan eksitasi dan sinyal</t>
  </si>
  <si>
    <t xml:space="preserve">Datasheet: masukan 401 +-10 ohm, keluaran 350 +-5 ohm</t>
  </si>
  <si>
    <t xml:space="preserve">Masukan 400 +-10 ohm (GJ Impex), 401 +-10 (vendor); keluaran 350 +-5 ohm (keduanya)</t>
  </si>
  <si>
    <t xml:space="preserve">Hitam-putih 393; merah-hijau 347; pasangan silang 260-306 (dua kali pengukuran, konsisten)</t>
  </si>
  <si>
    <t xml:space="preserve">Pengukuran: Baut, washer, dan mur</t>
  </si>
  <si>
    <t xml:space="preserve">F1</t>
  </si>
  <si>
    <t xml:space="preserve">Diameter ulir dan panjang di bawah kepala</t>
  </si>
  <si>
    <t xml:space="preserve">[Grip] [Cetak] lubang dan panjang baut</t>
  </si>
  <si>
    <t xml:space="preserve">Grip: M6 x 25 (washer logam). M3 x 10 mm untuk bagian modul 3D printing</t>
  </si>
  <si>
    <t xml:space="preserve">M6 x 25, kepala heksagonal (ISO 4017)</t>
  </si>
  <si>
    <t xml:space="preserve">ISO 4017</t>
  </si>
  <si>
    <t xml:space="preserve">F2</t>
  </si>
  <si>
    <t xml:space="preserve">Diameter kepala dan tinggi kepala</t>
  </si>
  <si>
    <t xml:space="preserve">[Grip] tonjolan di luar pelat (tanpa counterbore)</t>
  </si>
  <si>
    <t xml:space="preserve">Kepala M6: lebar antar sisi 10 mm, tinggi 4,0 mm (ISO 4017); washer M6: d1 6,4, d2 12, tebal 1,6 mm (ISO 7089)</t>
  </si>
  <si>
    <t xml:space="preserve">ISO 4017; ISO 7089</t>
  </si>
  <si>
    <t xml:space="preserve">F3</t>
  </si>
  <si>
    <t xml:space="preserve">Lebar antar sisi (across flats) dan tebal</t>
  </si>
  <si>
    <t xml:space="preserve">[Cetak] kantong heksagonal (bagian modul; grip memakai ulir load cell, tanpa mur)</t>
  </si>
  <si>
    <t xml:space="preserve">Mur M6: lebar antar sisi 10 mm, tebal maks 5,2 mm (ISO 4032)</t>
  </si>
  <si>
    <t xml:space="preserve">ISO 4032</t>
  </si>
  <si>
    <t xml:space="preserve">Pengukuran: Kabel USB dan konektor jumper</t>
  </si>
  <si>
    <t xml:space="preserve">F4</t>
  </si>
  <si>
    <t xml:space="preserve">Lebar x tinggi cangkang plug dan panjang plug</t>
  </si>
  <si>
    <t xml:space="preserve">F5</t>
  </si>
  <si>
    <t xml:space="preserve">Lebar x tinggi housing konektor</t>
  </si>
  <si>
    <t xml:space="preserve">[Housing] ruang dan rute kabel</t>
  </si>
  <si>
    <t xml:space="preserve">Pengukuran: Part hasil cetak 3D</t>
  </si>
  <si>
    <t xml:space="preserve">P1</t>
  </si>
  <si>
    <t xml:space="preserve">Diameter lubang, lebar slot, dan tebal dinding hasil cetak dibanding nilai CAD</t>
  </si>
  <si>
    <t xml:space="preserve">D atau L</t>
  </si>
  <si>
    <t xml:space="preserve">[Cetak] tabel dimensi CAD vs hasil ukur untuk laporan modul; koreksi kelonggaran</t>
  </si>
  <si>
    <t xml:space="preserve">Pengukuran: Pelat logam batang A dan B</t>
  </si>
  <si>
    <t xml:space="preserve">P2</t>
  </si>
  <si>
    <t xml:space="preserve">Tebal, lebar, panjang, kerataan di 3 titik</t>
  </si>
  <si>
    <t xml:space="preserve">[Grip] cek terhadap parameter `bar_t`, lebar 30 mm, panjang 170 mm</t>
  </si>
  <si>
    <t xml:space="preserve">Sesuai pesanan; ukur</t>
  </si>
  <si>
    <t xml:space="preserve">Al 6061-T6; 170 x 30 x 10 mm (pesanan)</t>
  </si>
  <si>
    <t xml:space="preserve">housing-load-cell/asumsi.md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</si>
</sst>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5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2"/>
      <c r="C3" s="2"/>
      <c r="D3" s="2"/>
      <c r="E3" s="2"/>
    </row>
    <row r="4" customFormat="false" ht="43.5" hidden="false" customHeight="true" outlineLevel="0" collapsed="false">
      <c r="A4" s="2" t="s">
        <v>2</v>
      </c>
      <c r="B4" s="2"/>
      <c r="C4" s="2"/>
      <c r="D4" s="2"/>
      <c r="E4" s="2"/>
    </row>
    <row r="5" customFormat="false" ht="43.5" hidden="false" customHeight="true" outlineLevel="0" collapsed="false">
      <c r="A5" s="2" t="s">
        <v>3</v>
      </c>
      <c r="B5" s="2"/>
      <c r="C5" s="2"/>
      <c r="D5" s="2"/>
      <c r="E5" s="2"/>
    </row>
    <row r="6" customFormat="false" ht="43.5" hidden="false" customHeight="true" outlineLevel="0" collapsed="false">
      <c r="A6" s="2" t="s">
        <v>4</v>
      </c>
      <c r="B6" s="2"/>
      <c r="C6" s="2"/>
      <c r="D6" s="2"/>
      <c r="E6" s="2"/>
    </row>
    <row r="7" customFormat="false" ht="43.5" hidden="false" customHeight="true" outlineLevel="0" collapsed="false">
      <c r="A7" s="2" t="s">
        <v>5</v>
      </c>
      <c r="B7" s="2"/>
      <c r="C7" s="2"/>
      <c r="D7" s="2"/>
      <c r="E7" s="2"/>
    </row>
    <row r="8" customFormat="false" ht="43.5" hidden="false" customHeight="true" outlineLevel="0" collapsed="false">
      <c r="A8" s="2" t="s">
        <v>6</v>
      </c>
      <c r="B8" s="2"/>
      <c r="C8" s="2"/>
      <c r="D8" s="2"/>
      <c r="E8" s="2"/>
    </row>
    <row r="9" customFormat="false" ht="43.5" hidden="false" customHeight="true" outlineLevel="0" collapsed="false">
      <c r="A9" s="2" t="s">
        <v>7</v>
      </c>
      <c r="B9" s="2"/>
      <c r="C9" s="2"/>
      <c r="D9" s="2"/>
      <c r="E9" s="2"/>
    </row>
    <row r="10" customFormat="false" ht="43.5" hidden="false" customHeight="true" outlineLevel="0" collapsed="false">
      <c r="A10" s="2" t="s">
        <v>8</v>
      </c>
      <c r="B10" s="2"/>
      <c r="C10" s="2"/>
      <c r="D10" s="2"/>
      <c r="E10" s="2"/>
    </row>
    <row r="11" customFormat="false" ht="43.5" hidden="false" customHeight="true" outlineLevel="0" collapsed="false">
      <c r="A11" s="2" t="s">
        <v>9</v>
      </c>
      <c r="B11" s="2"/>
      <c r="C11" s="2"/>
      <c r="D11" s="2"/>
      <c r="E11" s="2"/>
    </row>
    <row r="12" customFormat="false" ht="43.5" hidden="false" customHeight="true" outlineLevel="0" collapsed="false">
      <c r="A12" s="2" t="s">
        <v>10</v>
      </c>
      <c r="B12" s="2"/>
      <c r="C12" s="2"/>
      <c r="D12" s="2"/>
      <c r="E12" s="2"/>
    </row>
    <row r="13" customFormat="false" ht="43.5" hidden="false" customHeight="true" outlineLevel="0" collapsed="false">
      <c r="A13" s="2" t="s">
        <v>11</v>
      </c>
      <c r="B13" s="2"/>
      <c r="C13" s="2"/>
      <c r="D13" s="2"/>
      <c r="E13" s="2"/>
    </row>
    <row r="15" customFormat="false" ht="15" hidden="false" customHeight="false" outlineLevel="0" collapsed="false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16</v>
      </c>
    </row>
    <row r="16" customFormat="false" ht="35.05" hidden="false" customHeight="false" outlineLevel="0" collapsed="false">
      <c r="A16" s="4" t="s">
        <v>17</v>
      </c>
      <c r="B16" s="4" t="s">
        <v>18</v>
      </c>
      <c r="C16" s="4" t="s">
        <v>19</v>
      </c>
      <c r="D16" s="4" t="s">
        <v>20</v>
      </c>
      <c r="E16" s="5" t="n">
        <f aca="false">COUNTA(ESP32!A8:A200)</f>
        <v>21</v>
      </c>
    </row>
    <row r="17" customFormat="false" ht="15" hidden="false" customHeight="false" outlineLevel="0" collapsed="false">
      <c r="A17" s="4" t="s">
        <v>21</v>
      </c>
      <c r="B17" s="4" t="s">
        <v>22</v>
      </c>
      <c r="C17" s="4" t="s">
        <v>23</v>
      </c>
      <c r="D17" s="4" t="s">
        <v>24</v>
      </c>
      <c r="E17" s="5" t="n">
        <f aca="false">COUNTA(LED!A8:A200)</f>
        <v>6</v>
      </c>
    </row>
    <row r="18" customFormat="false" ht="15" hidden="false" customHeight="false" outlineLevel="0" collapsed="false">
      <c r="A18" s="4" t="s">
        <v>25</v>
      </c>
      <c r="B18" s="4" t="s">
        <v>26</v>
      </c>
      <c r="C18" s="4" t="s">
        <v>27</v>
      </c>
      <c r="D18" s="4" t="s">
        <v>28</v>
      </c>
      <c r="E18" s="5" t="n">
        <f aca="false">COUNTA(Resistor!A8:A200)</f>
        <v>5</v>
      </c>
    </row>
    <row r="19" customFormat="false" ht="15" hidden="false" customHeight="false" outlineLevel="0" collapsed="false">
      <c r="A19" s="4" t="s">
        <v>29</v>
      </c>
      <c r="B19" s="4" t="s">
        <v>30</v>
      </c>
      <c r="C19" s="4" t="s">
        <v>31</v>
      </c>
      <c r="D19" s="4" t="s">
        <v>32</v>
      </c>
      <c r="E19" s="5" t="n">
        <f aca="false">COUNTA(Tombol!A8:A200)</f>
        <v>5</v>
      </c>
    </row>
    <row r="20" customFormat="false" ht="23.85" hidden="false" customHeight="false" outlineLevel="0" collapsed="false">
      <c r="A20" s="4" t="s">
        <v>33</v>
      </c>
      <c r="B20" s="4" t="s">
        <v>34</v>
      </c>
      <c r="C20" s="4" t="s">
        <v>35</v>
      </c>
      <c r="D20" s="4" t="s">
        <v>36</v>
      </c>
      <c r="E20" s="5" t="n">
        <f aca="false">COUNTA(HX711!A8:A200)</f>
        <v>5</v>
      </c>
    </row>
    <row r="21" customFormat="false" ht="23.85" hidden="false" customHeight="false" outlineLevel="0" collapsed="false">
      <c r="A21" s="4" t="s">
        <v>37</v>
      </c>
      <c r="B21" s="4" t="s">
        <v>38</v>
      </c>
      <c r="C21" s="4" t="s">
        <v>39</v>
      </c>
      <c r="D21" s="4" t="s">
        <v>40</v>
      </c>
      <c r="E21" s="5" t="n">
        <f aca="false">COUNTA('LCD I2C'!A8:A200)</f>
        <v>6</v>
      </c>
    </row>
    <row r="22" customFormat="false" ht="35.05" hidden="false" customHeight="false" outlineLevel="0" collapsed="false">
      <c r="A22" s="4" t="s">
        <v>41</v>
      </c>
      <c r="B22" s="4" t="s">
        <v>42</v>
      </c>
      <c r="C22" s="4" t="s">
        <v>43</v>
      </c>
      <c r="D22" s="4" t="s">
        <v>44</v>
      </c>
      <c r="E22" s="5" t="n">
        <f aca="false">COUNTA('Load cell'!A8:A200)</f>
        <v>9</v>
      </c>
    </row>
    <row r="23" customFormat="false" ht="23.85" hidden="false" customHeight="false" outlineLevel="0" collapsed="false">
      <c r="A23" s="4" t="s">
        <v>45</v>
      </c>
      <c r="B23" s="4" t="s">
        <v>46</v>
      </c>
      <c r="C23" s="4" t="s">
        <v>47</v>
      </c>
      <c r="D23" s="4" t="s">
        <v>48</v>
      </c>
      <c r="E23" s="5" t="n">
        <f aca="false">COUNTA('Baut dan mur'!A8:A200)</f>
        <v>3</v>
      </c>
    </row>
    <row r="24" customFormat="false" ht="23.85" hidden="false" customHeight="false" outlineLevel="0" collapsed="false">
      <c r="A24" s="4" t="s">
        <v>49</v>
      </c>
      <c r="B24" s="4" t="s">
        <v>50</v>
      </c>
      <c r="C24" s="4" t="s">
        <v>51</v>
      </c>
      <c r="D24" s="4" t="s">
        <v>52</v>
      </c>
      <c r="E24" s="5" t="n">
        <f aca="false">COUNTA('Kabel dan konektor'!A8:A200)</f>
        <v>2</v>
      </c>
    </row>
    <row r="25" customFormat="false" ht="23.85" hidden="false" customHeight="false" outlineLevel="0" collapsed="false">
      <c r="A25" s="4" t="s">
        <v>53</v>
      </c>
      <c r="B25" s="4" t="s">
        <v>54</v>
      </c>
      <c r="C25" s="4" t="s">
        <v>55</v>
      </c>
      <c r="D25" s="4" t="s">
        <v>56</v>
      </c>
      <c r="E25" s="5" t="n">
        <f aca="false">COUNTA('Hasil cetak'!A8:A200)</f>
        <v>1</v>
      </c>
    </row>
    <row r="26" customFormat="false" ht="15" hidden="false" customHeight="false" outlineLevel="0" collapsed="false">
      <c r="A26" s="4" t="s">
        <v>57</v>
      </c>
      <c r="B26" s="4" t="s">
        <v>58</v>
      </c>
      <c r="C26" s="4" t="s">
        <v>59</v>
      </c>
      <c r="D26" s="4" t="s">
        <v>60</v>
      </c>
      <c r="E26" s="5" t="n">
        <f aca="false">COUNTA('Pelat logam'!A8:A200)</f>
        <v>1</v>
      </c>
    </row>
  </sheetData>
  <mergeCells count="11"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6" t="s">
        <v>14</v>
      </c>
      <c r="B2" s="7" t="s">
        <v>19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20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81</v>
      </c>
      <c r="B8" s="10" t="s">
        <v>82</v>
      </c>
      <c r="C8" s="10" t="s">
        <v>83</v>
      </c>
      <c r="D8" s="10" t="s">
        <v>84</v>
      </c>
      <c r="E8" s="10" t="s">
        <v>85</v>
      </c>
      <c r="F8" s="10" t="s">
        <v>86</v>
      </c>
      <c r="G8" s="10" t="s">
        <v>87</v>
      </c>
      <c r="H8" s="11"/>
      <c r="I8" s="11"/>
      <c r="J8" s="12" t="n">
        <v>51.5</v>
      </c>
      <c r="K8" s="12"/>
      <c r="L8" s="12"/>
      <c r="M8" s="13" t="n">
        <f aca="false">IF(COUNT(J8:L8)=0,"",AVERAGE(J8:L8))</f>
        <v>51.5</v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 t="s">
        <v>88</v>
      </c>
      <c r="Q8" s="10" t="s">
        <v>89</v>
      </c>
    </row>
    <row r="9" customFormat="false" ht="23.85" hidden="false" customHeight="false" outlineLevel="0" collapsed="false">
      <c r="A9" s="10" t="s">
        <v>90</v>
      </c>
      <c r="B9" s="10" t="s">
        <v>91</v>
      </c>
      <c r="C9" s="10" t="s">
        <v>83</v>
      </c>
      <c r="D9" s="10" t="s">
        <v>84</v>
      </c>
      <c r="E9" s="10" t="s">
        <v>92</v>
      </c>
      <c r="F9" s="10" t="s">
        <v>86</v>
      </c>
      <c r="G9" s="10" t="s">
        <v>87</v>
      </c>
      <c r="H9" s="11"/>
      <c r="I9" s="11"/>
      <c r="J9" s="12" t="n">
        <v>28.2</v>
      </c>
      <c r="K9" s="12"/>
      <c r="L9" s="12"/>
      <c r="M9" s="13" t="n">
        <f aca="false">IF(COUNT(J9:L9)=0,"",AVERAGE(J9:L9))</f>
        <v>28.2</v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 t="s">
        <v>88</v>
      </c>
      <c r="Q9" s="10" t="s">
        <v>93</v>
      </c>
    </row>
    <row r="10" customFormat="false" ht="15" hidden="false" customHeight="false" outlineLevel="0" collapsed="false">
      <c r="A10" s="10" t="s">
        <v>94</v>
      </c>
      <c r="B10" s="10" t="s">
        <v>95</v>
      </c>
      <c r="C10" s="10" t="s">
        <v>83</v>
      </c>
      <c r="D10" s="10" t="s">
        <v>96</v>
      </c>
      <c r="E10" s="10" t="s">
        <v>97</v>
      </c>
      <c r="F10" s="10"/>
      <c r="G10" s="10"/>
      <c r="H10" s="11"/>
      <c r="I10" s="11"/>
      <c r="J10" s="12" t="n">
        <v>1</v>
      </c>
      <c r="K10" s="12"/>
      <c r="L10" s="12"/>
      <c r="M10" s="13" t="n">
        <f aca="false">IF(COUNT(J10:L10)=0,"",AVERAGE(J10:L10))</f>
        <v>1</v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 t="s">
        <v>88</v>
      </c>
      <c r="Q10" s="10" t="s">
        <v>98</v>
      </c>
    </row>
    <row r="11" customFormat="false" ht="23.85" hidden="false" customHeight="false" outlineLevel="0" collapsed="false">
      <c r="A11" s="10" t="s">
        <v>99</v>
      </c>
      <c r="B11" s="10" t="s">
        <v>100</v>
      </c>
      <c r="C11" s="10" t="s">
        <v>101</v>
      </c>
      <c r="D11" s="10" t="s">
        <v>102</v>
      </c>
      <c r="E11" s="10" t="s">
        <v>97</v>
      </c>
      <c r="F11" s="10"/>
      <c r="G11" s="10"/>
      <c r="H11" s="11"/>
      <c r="I11" s="11"/>
      <c r="J11" s="12" t="n">
        <v>4.2</v>
      </c>
      <c r="K11" s="12"/>
      <c r="L11" s="12"/>
      <c r="M11" s="13" t="n">
        <f aca="false">IF(COUNT(J11:L11)=0,"",AVERAGE(J11:L11))</f>
        <v>4.2</v>
      </c>
      <c r="N11" s="13" t="str">
        <f aca="false">IF(COUNT(J11:L11)&lt;2,"",MAX(J11:L11)-MIN(J11:L11))</f>
        <v/>
      </c>
      <c r="O11" s="10" t="str">
        <f aca="false">IF(OR(M11="",H11="",I11=""),"",IF(ABS(M11-H11)&lt;=I11,"DALAM TOLERANSI","LUAR TOLERANSI"))</f>
        <v/>
      </c>
      <c r="P11" s="10" t="s">
        <v>88</v>
      </c>
      <c r="Q11" s="10" t="s">
        <v>103</v>
      </c>
    </row>
    <row r="12" customFormat="false" ht="23.85" hidden="false" customHeight="false" outlineLevel="0" collapsed="false">
      <c r="A12" s="10" t="s">
        <v>104</v>
      </c>
      <c r="B12" s="10" t="s">
        <v>105</v>
      </c>
      <c r="C12" s="10" t="s">
        <v>106</v>
      </c>
      <c r="D12" s="10" t="s">
        <v>107</v>
      </c>
      <c r="E12" s="10" t="s">
        <v>108</v>
      </c>
      <c r="F12" s="10" t="s">
        <v>109</v>
      </c>
      <c r="G12" s="10" t="s">
        <v>110</v>
      </c>
      <c r="H12" s="11"/>
      <c r="I12" s="11"/>
      <c r="J12" s="12" t="n">
        <v>25.3</v>
      </c>
      <c r="K12" s="12"/>
      <c r="L12" s="12"/>
      <c r="M12" s="13" t="n">
        <f aca="false">IF(COUNT(J12:L12)=0,"",AVERAGE(J12:L12))</f>
        <v>25.3</v>
      </c>
      <c r="N12" s="13" t="str">
        <f aca="false">IF(COUNT(J12:L12)&lt;2,"",MAX(J12:L12)-MIN(J12:L12))</f>
        <v/>
      </c>
      <c r="O12" s="10" t="str">
        <f aca="false">IF(OR(M12="",H12="",I12=""),"",IF(ABS(M12-H12)&lt;=I12,"DALAM TOLERANSI","LUAR TOLERANSI"))</f>
        <v/>
      </c>
      <c r="P12" s="10" t="s">
        <v>88</v>
      </c>
      <c r="Q12" s="10" t="s">
        <v>111</v>
      </c>
    </row>
    <row r="13" customFormat="false" ht="15" hidden="false" customHeight="false" outlineLevel="0" collapsed="false">
      <c r="A13" s="10" t="s">
        <v>112</v>
      </c>
      <c r="B13" s="10" t="s">
        <v>113</v>
      </c>
      <c r="C13" s="10" t="s">
        <v>83</v>
      </c>
      <c r="D13" s="10" t="s">
        <v>114</v>
      </c>
      <c r="E13" s="10" t="s">
        <v>115</v>
      </c>
      <c r="F13" s="10" t="s">
        <v>116</v>
      </c>
      <c r="G13" s="10" t="s">
        <v>110</v>
      </c>
      <c r="H13" s="11"/>
      <c r="I13" s="11"/>
      <c r="J13" s="12" t="n">
        <v>2.54</v>
      </c>
      <c r="K13" s="12"/>
      <c r="L13" s="12"/>
      <c r="M13" s="13" t="n">
        <f aca="false">IF(COUNT(J13:L13)=0,"",AVERAGE(J13:L13))</f>
        <v>2.54</v>
      </c>
      <c r="N13" s="13" t="str">
        <f aca="false">IF(COUNT(J13:L13)&lt;2,"",MAX(J13:L13)-MIN(J13:L13))</f>
        <v/>
      </c>
      <c r="O13" s="10" t="str">
        <f aca="false">IF(OR(M13="",H13="",I13=""),"",IF(ABS(M13-H13)&lt;=I13,"DALAM TOLERANSI","LUAR TOLERANSI"))</f>
        <v/>
      </c>
      <c r="P13" s="10" t="s">
        <v>88</v>
      </c>
      <c r="Q13" s="10" t="s">
        <v>117</v>
      </c>
    </row>
    <row r="14" customFormat="false" ht="15" hidden="false" customHeight="false" outlineLevel="0" collapsed="false">
      <c r="A14" s="10" t="s">
        <v>118</v>
      </c>
      <c r="B14" s="10" t="s">
        <v>119</v>
      </c>
      <c r="C14" s="10" t="s">
        <v>83</v>
      </c>
      <c r="D14" s="10" t="s">
        <v>120</v>
      </c>
      <c r="E14" s="10" t="s">
        <v>97</v>
      </c>
      <c r="F14" s="10"/>
      <c r="G14" s="10"/>
      <c r="H14" s="11"/>
      <c r="I14" s="11"/>
      <c r="J14" s="12" t="n">
        <v>0.5</v>
      </c>
      <c r="K14" s="12"/>
      <c r="L14" s="12"/>
      <c r="M14" s="13" t="n">
        <f aca="false">IF(COUNT(J14:L14)=0,"",AVERAGE(J14:L14))</f>
        <v>0.5</v>
      </c>
      <c r="N14" s="13" t="str">
        <f aca="false">IF(COUNT(J14:L14)&lt;2,"",MAX(J14:L14)-MIN(J14:L14))</f>
        <v/>
      </c>
      <c r="O14" s="10" t="str">
        <f aca="false">IF(OR(M14="",H14="",I14=""),"",IF(ABS(M14-H14)&lt;=I14,"DALAM TOLERANSI","LUAR TOLERANSI"))</f>
        <v/>
      </c>
      <c r="P14" s="10" t="s">
        <v>88</v>
      </c>
      <c r="Q14" s="10" t="s">
        <v>121</v>
      </c>
    </row>
    <row r="15" customFormat="false" ht="15" hidden="false" customHeight="false" outlineLevel="0" collapsed="false">
      <c r="A15" s="10" t="s">
        <v>122</v>
      </c>
      <c r="B15" s="10" t="s">
        <v>123</v>
      </c>
      <c r="C15" s="10" t="s">
        <v>83</v>
      </c>
      <c r="D15" s="10" t="s">
        <v>124</v>
      </c>
      <c r="E15" s="10" t="s">
        <v>97</v>
      </c>
      <c r="F15" s="10"/>
      <c r="G15" s="10"/>
      <c r="H15" s="11"/>
      <c r="I15" s="11"/>
      <c r="J15" s="12"/>
      <c r="K15" s="12"/>
      <c r="L15" s="12"/>
      <c r="M15" s="13" t="str">
        <f aca="false">IF(COUNT(J15:L15)=0,"",AVERAGE(J15:L15))</f>
        <v/>
      </c>
      <c r="N15" s="13" t="str">
        <f aca="false">IF(COUNT(J15:L15)&lt;2,"",MAX(J15:L15)-MIN(J15:L15))</f>
        <v/>
      </c>
      <c r="O15" s="10" t="str">
        <f aca="false">IF(OR(M15="",H15="",I15=""),"",IF(ABS(M15-H15)&lt;=I15,"DALAM TOLERANSI","LUAR TOLERANSI"))</f>
        <v/>
      </c>
      <c r="P15" s="10" t="s">
        <v>88</v>
      </c>
      <c r="Q15" s="10" t="s">
        <v>125</v>
      </c>
    </row>
    <row r="16" customFormat="false" ht="23.85" hidden="false" customHeight="false" outlineLevel="0" collapsed="false">
      <c r="A16" s="10" t="s">
        <v>126</v>
      </c>
      <c r="B16" s="10" t="s">
        <v>127</v>
      </c>
      <c r="C16" s="10" t="s">
        <v>101</v>
      </c>
      <c r="D16" s="10" t="s">
        <v>128</v>
      </c>
      <c r="E16" s="10" t="s">
        <v>97</v>
      </c>
      <c r="F16" s="10"/>
      <c r="G16" s="10"/>
      <c r="H16" s="11"/>
      <c r="I16" s="11"/>
      <c r="J16" s="12"/>
      <c r="K16" s="12"/>
      <c r="L16" s="12"/>
      <c r="M16" s="13" t="str">
        <f aca="false">IF(COUNT(J16:L16)=0,"",AVERAGE(J16:L16))</f>
        <v/>
      </c>
      <c r="N16" s="13" t="str">
        <f aca="false">IF(COUNT(J16:L16)&lt;2,"",MAX(J16:L16)-MIN(J16:L16))</f>
        <v/>
      </c>
      <c r="O16" s="10" t="str">
        <f aca="false">IF(OR(M16="",H16="",I16=""),"",IF(ABS(M16-H16)&lt;=I16,"DALAM TOLERANSI","LUAR TOLERANSI"))</f>
        <v/>
      </c>
      <c r="P16" s="10"/>
      <c r="Q16" s="10" t="s">
        <v>129</v>
      </c>
    </row>
    <row r="17" customFormat="false" ht="15" hidden="false" customHeight="false" outlineLevel="0" collapsed="false">
      <c r="A17" s="10" t="s">
        <v>130</v>
      </c>
      <c r="B17" s="10" t="s">
        <v>131</v>
      </c>
      <c r="C17" s="10" t="s">
        <v>132</v>
      </c>
      <c r="D17" s="10" t="s">
        <v>133</v>
      </c>
      <c r="E17" s="10" t="s">
        <v>97</v>
      </c>
      <c r="F17" s="10"/>
      <c r="G17" s="10"/>
      <c r="H17" s="11"/>
      <c r="I17" s="11"/>
      <c r="J17" s="12" t="n">
        <v>0</v>
      </c>
      <c r="K17" s="12"/>
      <c r="L17" s="12"/>
      <c r="M17" s="13" t="n">
        <f aca="false">IF(COUNT(J17:L17)=0,"",AVERAGE(J17:L17))</f>
        <v>0</v>
      </c>
      <c r="N17" s="13" t="str">
        <f aca="false">IF(COUNT(J17:L17)&lt;2,"",MAX(J17:L17)-MIN(J17:L17))</f>
        <v/>
      </c>
      <c r="O17" s="10" t="str">
        <f aca="false">IF(OR(M17="",H17="",I17=""),"",IF(ABS(M17-H17)&lt;=I17,"DALAM TOLERANSI","LUAR TOLERANSI"))</f>
        <v/>
      </c>
      <c r="P17" s="10" t="s">
        <v>88</v>
      </c>
      <c r="Q17" s="10" t="s">
        <v>134</v>
      </c>
    </row>
    <row r="18" customFormat="false" ht="23.85" hidden="false" customHeight="false" outlineLevel="0" collapsed="false">
      <c r="A18" s="10" t="s">
        <v>135</v>
      </c>
      <c r="B18" s="10" t="s">
        <v>136</v>
      </c>
      <c r="C18" s="10" t="s">
        <v>137</v>
      </c>
      <c r="D18" s="10" t="s">
        <v>138</v>
      </c>
      <c r="E18" s="10" t="s">
        <v>139</v>
      </c>
      <c r="F18" s="10"/>
      <c r="G18" s="10"/>
      <c r="H18" s="11"/>
      <c r="I18" s="11"/>
      <c r="J18" s="12"/>
      <c r="K18" s="12"/>
      <c r="L18" s="12"/>
      <c r="M18" s="13" t="str">
        <f aca="false">IF(COUNT(J18:L18)=0,"",AVERAGE(J18:L18))</f>
        <v/>
      </c>
      <c r="N18" s="13" t="str">
        <f aca="false">IF(COUNT(J18:L18)&lt;2,"",MAX(J18:L18)-MIN(J18:L18))</f>
        <v/>
      </c>
      <c r="O18" s="10" t="str">
        <f aca="false">IF(OR(M18="",H18="",I18=""),"",IF(ABS(M18-H18)&lt;=I18,"DALAM TOLERANSI","LUAR TOLERANSI"))</f>
        <v/>
      </c>
      <c r="P18" s="10"/>
      <c r="Q18" s="10" t="s">
        <v>129</v>
      </c>
    </row>
    <row r="19" customFormat="false" ht="15" hidden="false" customHeight="false" outlineLevel="0" collapsed="false">
      <c r="A19" s="10" t="s">
        <v>140</v>
      </c>
      <c r="B19" s="10" t="s">
        <v>141</v>
      </c>
      <c r="C19" s="10" t="s">
        <v>83</v>
      </c>
      <c r="D19" s="10" t="s">
        <v>142</v>
      </c>
      <c r="E19" s="10"/>
      <c r="F19" s="10" t="s">
        <v>143</v>
      </c>
      <c r="G19" s="10" t="s">
        <v>144</v>
      </c>
      <c r="H19" s="11" t="n">
        <v>18</v>
      </c>
      <c r="I19" s="11" t="n">
        <v>0.15</v>
      </c>
      <c r="J19" s="12"/>
      <c r="K19" s="12"/>
      <c r="L19" s="12"/>
      <c r="M19" s="13" t="str">
        <f aca="false">IF(COUNT(J19:L19)=0,"",AVERAGE(J19:L19))</f>
        <v/>
      </c>
      <c r="N19" s="13" t="str">
        <f aca="false">IF(COUNT(J19:L19)&lt;2,"",MAX(J19:L19)-MIN(J19:L19))</f>
        <v/>
      </c>
      <c r="O19" s="10" t="str">
        <f aca="false">IF(OR(M19="",H19="",I19=""),"",IF(ABS(M19-H19)&lt;=I19,"DALAM TOLERANSI","LUAR TOLERANSI"))</f>
        <v/>
      </c>
      <c r="P19" s="10"/>
      <c r="Q19" s="10"/>
    </row>
    <row r="20" customFormat="false" ht="15" hidden="false" customHeight="false" outlineLevel="0" collapsed="false">
      <c r="A20" s="10" t="s">
        <v>145</v>
      </c>
      <c r="B20" s="10" t="s">
        <v>146</v>
      </c>
      <c r="C20" s="10" t="s">
        <v>83</v>
      </c>
      <c r="D20" s="10" t="s">
        <v>142</v>
      </c>
      <c r="E20" s="10"/>
      <c r="F20" s="10" t="s">
        <v>147</v>
      </c>
      <c r="G20" s="10" t="s">
        <v>144</v>
      </c>
      <c r="H20" s="11" t="n">
        <v>25.5</v>
      </c>
      <c r="I20" s="11" t="n">
        <v>0.15</v>
      </c>
      <c r="J20" s="12"/>
      <c r="K20" s="12"/>
      <c r="L20" s="12"/>
      <c r="M20" s="13" t="str">
        <f aca="false">IF(COUNT(J20:L20)=0,"",AVERAGE(J20:L20))</f>
        <v/>
      </c>
      <c r="N20" s="13" t="str">
        <f aca="false">IF(COUNT(J20:L20)&lt;2,"",MAX(J20:L20)-MIN(J20:L20))</f>
        <v/>
      </c>
      <c r="O20" s="10" t="str">
        <f aca="false">IF(OR(M20="",H20="",I20=""),"",IF(ABS(M20-H20)&lt;=I20,"DALAM TOLERANSI","LUAR TOLERANSI"))</f>
        <v/>
      </c>
      <c r="P20" s="10"/>
      <c r="Q20" s="10"/>
    </row>
    <row r="21" customFormat="false" ht="23.85" hidden="false" customHeight="false" outlineLevel="0" collapsed="false">
      <c r="A21" s="10" t="s">
        <v>148</v>
      </c>
      <c r="B21" s="10" t="s">
        <v>149</v>
      </c>
      <c r="C21" s="10" t="s">
        <v>83</v>
      </c>
      <c r="D21" s="10" t="s">
        <v>150</v>
      </c>
      <c r="E21" s="10"/>
      <c r="F21" s="10" t="s">
        <v>151</v>
      </c>
      <c r="G21" s="10" t="s">
        <v>152</v>
      </c>
      <c r="H21" s="11" t="n">
        <v>3.1</v>
      </c>
      <c r="I21" s="11" t="n">
        <v>0.15</v>
      </c>
      <c r="J21" s="12" t="n">
        <v>3.2</v>
      </c>
      <c r="K21" s="12"/>
      <c r="L21" s="12"/>
      <c r="M21" s="13" t="n">
        <f aca="false">IF(COUNT(J21:L21)=0,"",AVERAGE(J21:L21))</f>
        <v>3.2</v>
      </c>
      <c r="N21" s="13" t="str">
        <f aca="false">IF(COUNT(J21:L21)&lt;2,"",MAX(J21:L21)-MIN(J21:L21))</f>
        <v/>
      </c>
      <c r="O21" s="10" t="str">
        <f aca="false">IF(OR(M21="",H21="",I21=""),"",IF(ABS(M21-H21)&lt;=I21,"DALAM TOLERANSI","LUAR TOLERANSI"))</f>
        <v>DALAM TOLERANSI</v>
      </c>
      <c r="P21" s="10" t="s">
        <v>88</v>
      </c>
      <c r="Q21" s="10" t="s">
        <v>153</v>
      </c>
    </row>
    <row r="22" customFormat="false" ht="15" hidden="false" customHeight="false" outlineLevel="0" collapsed="false">
      <c r="A22" s="10" t="s">
        <v>154</v>
      </c>
      <c r="B22" s="10" t="s">
        <v>155</v>
      </c>
      <c r="C22" s="10" t="s">
        <v>97</v>
      </c>
      <c r="D22" s="10" t="s">
        <v>156</v>
      </c>
      <c r="E22" s="10"/>
      <c r="F22" s="10" t="s">
        <v>157</v>
      </c>
      <c r="G22" s="10" t="s">
        <v>158</v>
      </c>
      <c r="H22" s="11"/>
      <c r="I22" s="11"/>
      <c r="J22" s="12"/>
      <c r="K22" s="12"/>
      <c r="L22" s="12"/>
      <c r="M22" s="13" t="str">
        <f aca="false">IF(COUNT(J22:L22)=0,"",AVERAGE(J22:L22))</f>
        <v/>
      </c>
      <c r="N22" s="13" t="str">
        <f aca="false">IF(COUNT(J22:L22)&lt;2,"",MAX(J22:L22)-MIN(J22:L22))</f>
        <v/>
      </c>
      <c r="O22" s="10" t="str">
        <f aca="false">IF(OR(M22="",H22="",I22=""),"",IF(ABS(M22-H22)&lt;=I22,"DALAM TOLERANSI","LUAR TOLERANSI"))</f>
        <v/>
      </c>
      <c r="P22" s="10"/>
      <c r="Q22" s="10"/>
    </row>
    <row r="23" customFormat="false" ht="15" hidden="false" customHeight="false" outlineLevel="0" collapsed="false">
      <c r="A23" s="10" t="s">
        <v>159</v>
      </c>
      <c r="B23" s="10" t="s">
        <v>160</v>
      </c>
      <c r="C23" s="10" t="s">
        <v>97</v>
      </c>
      <c r="D23" s="10" t="s">
        <v>161</v>
      </c>
      <c r="E23" s="10"/>
      <c r="F23" s="10" t="s">
        <v>162</v>
      </c>
      <c r="G23" s="10" t="s">
        <v>144</v>
      </c>
      <c r="H23" s="11"/>
      <c r="I23" s="11"/>
      <c r="J23" s="12"/>
      <c r="K23" s="12"/>
      <c r="L23" s="12"/>
      <c r="M23" s="13" t="str">
        <f aca="false">IF(COUNT(J23:L23)=0,"",AVERAGE(J23:L23))</f>
        <v/>
      </c>
      <c r="N23" s="13" t="str">
        <f aca="false">IF(COUNT(J23:L23)&lt;2,"",MAX(J23:L23)-MIN(J23:L23))</f>
        <v/>
      </c>
      <c r="O23" s="10" t="str">
        <f aca="false">IF(OR(M23="",H23="",I23=""),"",IF(ABS(M23-H23)&lt;=I23,"DALAM TOLERANSI","LUAR TOLERANSI"))</f>
        <v/>
      </c>
      <c r="P23" s="10"/>
      <c r="Q23" s="10"/>
    </row>
    <row r="24" customFormat="false" ht="15" hidden="false" customHeight="false" outlineLevel="0" collapsed="false">
      <c r="A24" s="10" t="s">
        <v>163</v>
      </c>
      <c r="B24" s="10" t="s">
        <v>164</v>
      </c>
      <c r="C24" s="10" t="s">
        <v>97</v>
      </c>
      <c r="D24" s="10" t="s">
        <v>165</v>
      </c>
      <c r="E24" s="10"/>
      <c r="F24" s="10" t="s">
        <v>166</v>
      </c>
      <c r="G24" s="10" t="s">
        <v>144</v>
      </c>
      <c r="H24" s="11"/>
      <c r="I24" s="11"/>
      <c r="J24" s="12"/>
      <c r="K24" s="12"/>
      <c r="L24" s="12"/>
      <c r="M24" s="13" t="str">
        <f aca="false">IF(COUNT(J24:L24)=0,"",AVERAGE(J24:L24))</f>
        <v/>
      </c>
      <c r="N24" s="13" t="str">
        <f aca="false">IF(COUNT(J24:L24)&lt;2,"",MAX(J24:L24)-MIN(J24:L24))</f>
        <v/>
      </c>
      <c r="O24" s="10" t="str">
        <f aca="false">IF(OR(M24="",H24="",I24=""),"",IF(ABS(M24-H24)&lt;=I24,"DALAM TOLERANSI","LUAR TOLERANSI"))</f>
        <v/>
      </c>
      <c r="P24" s="10"/>
      <c r="Q24" s="10"/>
    </row>
    <row r="25" customFormat="false" ht="15" hidden="false" customHeight="false" outlineLevel="0" collapsed="false">
      <c r="A25" s="10" t="s">
        <v>167</v>
      </c>
      <c r="B25" s="10" t="s">
        <v>168</v>
      </c>
      <c r="C25" s="10" t="s">
        <v>97</v>
      </c>
      <c r="D25" s="10" t="s">
        <v>165</v>
      </c>
      <c r="E25" s="10"/>
      <c r="F25" s="10" t="s">
        <v>169</v>
      </c>
      <c r="G25" s="10" t="s">
        <v>170</v>
      </c>
      <c r="H25" s="11"/>
      <c r="I25" s="11"/>
      <c r="J25" s="12"/>
      <c r="K25" s="12"/>
      <c r="L25" s="12"/>
      <c r="M25" s="13" t="str">
        <f aca="false">IF(COUNT(J25:L25)=0,"",AVERAGE(J25:L25))</f>
        <v/>
      </c>
      <c r="N25" s="13" t="str">
        <f aca="false">IF(COUNT(J25:L25)&lt;2,"",MAX(J25:L25)-MIN(J25:L25))</f>
        <v/>
      </c>
      <c r="O25" s="10" t="str">
        <f aca="false">IF(OR(M25="",H25="",I25=""),"",IF(ABS(M25-H25)&lt;=I25,"DALAM TOLERANSI","LUAR TOLERANSI"))</f>
        <v/>
      </c>
      <c r="P25" s="10"/>
      <c r="Q25" s="10"/>
    </row>
    <row r="26" customFormat="false" ht="15" hidden="false" customHeight="false" outlineLevel="0" collapsed="false">
      <c r="A26" s="10" t="s">
        <v>171</v>
      </c>
      <c r="B26" s="10" t="s">
        <v>172</v>
      </c>
      <c r="C26" s="10" t="s">
        <v>97</v>
      </c>
      <c r="D26" s="10" t="s">
        <v>165</v>
      </c>
      <c r="E26" s="10"/>
      <c r="F26" s="10" t="s">
        <v>173</v>
      </c>
      <c r="G26" s="10" t="s">
        <v>170</v>
      </c>
      <c r="H26" s="11"/>
      <c r="I26" s="11"/>
      <c r="J26" s="12"/>
      <c r="K26" s="12"/>
      <c r="L26" s="12"/>
      <c r="M26" s="13" t="str">
        <f aca="false">IF(COUNT(J26:L26)=0,"",AVERAGE(J26:L26))</f>
        <v/>
      </c>
      <c r="N26" s="13" t="str">
        <f aca="false">IF(COUNT(J26:L26)&lt;2,"",MAX(J26:L26)-MIN(J26:L26))</f>
        <v/>
      </c>
      <c r="O26" s="10" t="str">
        <f aca="false">IF(OR(M26="",H26="",I26=""),"",IF(ABS(M26-H26)&lt;=I26,"DALAM TOLERANSI","LUAR TOLERANSI"))</f>
        <v/>
      </c>
      <c r="P26" s="10"/>
      <c r="Q26" s="10"/>
    </row>
    <row r="27" customFormat="false" ht="15" hidden="false" customHeight="false" outlineLevel="0" collapsed="false">
      <c r="A27" s="10" t="s">
        <v>174</v>
      </c>
      <c r="B27" s="10" t="s">
        <v>175</v>
      </c>
      <c r="C27" s="10" t="s">
        <v>97</v>
      </c>
      <c r="D27" s="10" t="s">
        <v>165</v>
      </c>
      <c r="E27" s="10"/>
      <c r="F27" s="10" t="s">
        <v>176</v>
      </c>
      <c r="G27" s="10" t="s">
        <v>170</v>
      </c>
      <c r="H27" s="11" t="n">
        <v>16.51</v>
      </c>
      <c r="I27" s="11"/>
      <c r="J27" s="12"/>
      <c r="K27" s="12"/>
      <c r="L27" s="12"/>
      <c r="M27" s="13" t="str">
        <f aca="false">IF(COUNT(J27:L27)=0,"",AVERAGE(J27:L27))</f>
        <v/>
      </c>
      <c r="N27" s="13" t="str">
        <f aca="false">IF(COUNT(J27:L27)&lt;2,"",MAX(J27:L27)-MIN(J27:L27))</f>
        <v/>
      </c>
      <c r="O27" s="10" t="str">
        <f aca="false">IF(OR(M27="",H27="",I27=""),"",IF(ABS(M27-H27)&lt;=I27,"DALAM TOLERANSI","LUAR TOLERANSI"))</f>
        <v/>
      </c>
      <c r="P27" s="10"/>
      <c r="Q27" s="10"/>
    </row>
    <row r="28" customFormat="false" ht="15" hidden="false" customHeight="false" outlineLevel="0" collapsed="false">
      <c r="A28" s="10" t="s">
        <v>177</v>
      </c>
      <c r="B28" s="10" t="s">
        <v>178</v>
      </c>
      <c r="C28" s="10" t="s">
        <v>97</v>
      </c>
      <c r="D28" s="10" t="s">
        <v>165</v>
      </c>
      <c r="E28" s="10"/>
      <c r="F28" s="10" t="s">
        <v>179</v>
      </c>
      <c r="G28" s="10" t="s">
        <v>170</v>
      </c>
      <c r="H28" s="11" t="n">
        <v>11.43</v>
      </c>
      <c r="I28" s="11"/>
      <c r="J28" s="12"/>
      <c r="K28" s="12"/>
      <c r="L28" s="12"/>
      <c r="M28" s="13" t="str">
        <f aca="false">IF(COUNT(J28:L28)=0,"",AVERAGE(J28:L28))</f>
        <v/>
      </c>
      <c r="N28" s="13" t="str">
        <f aca="false">IF(COUNT(J28:L28)&lt;2,"",MAX(J28:L28)-MIN(J28:L28))</f>
        <v/>
      </c>
      <c r="O28" s="10" t="str">
        <f aca="false">IF(OR(M28="",H28="",I28=""),"",IF(ABS(M28-H28)&lt;=I28,"DALAM TOLERANSI","LUAR TOLERANSI"))</f>
        <v/>
      </c>
      <c r="P28" s="10"/>
      <c r="Q28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6" t="s">
        <v>14</v>
      </c>
      <c r="B2" s="7" t="s">
        <v>23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24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181</v>
      </c>
      <c r="B8" s="10" t="s">
        <v>182</v>
      </c>
      <c r="C8" s="10" t="s">
        <v>83</v>
      </c>
      <c r="D8" s="10" t="s">
        <v>183</v>
      </c>
      <c r="E8" s="10" t="s">
        <v>184</v>
      </c>
      <c r="F8" s="10" t="s">
        <v>185</v>
      </c>
      <c r="G8" s="10" t="s">
        <v>186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  <row r="9" customFormat="false" ht="15" hidden="false" customHeight="false" outlineLevel="0" collapsed="false">
      <c r="A9" s="10" t="s">
        <v>187</v>
      </c>
      <c r="B9" s="10" t="s">
        <v>188</v>
      </c>
      <c r="C9" s="10" t="s">
        <v>83</v>
      </c>
      <c r="D9" s="10" t="s">
        <v>189</v>
      </c>
      <c r="E9" s="10" t="s">
        <v>190</v>
      </c>
      <c r="F9" s="10"/>
      <c r="G9" s="10"/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  <row r="10" customFormat="false" ht="15" hidden="false" customHeight="false" outlineLevel="0" collapsed="false">
      <c r="A10" s="10" t="s">
        <v>191</v>
      </c>
      <c r="B10" s="10" t="s">
        <v>192</v>
      </c>
      <c r="C10" s="10" t="s">
        <v>132</v>
      </c>
      <c r="D10" s="10" t="s">
        <v>193</v>
      </c>
      <c r="E10" s="10" t="s">
        <v>97</v>
      </c>
      <c r="F10" s="10"/>
      <c r="G10" s="10"/>
      <c r="H10" s="11"/>
      <c r="I10" s="11"/>
      <c r="J10" s="12"/>
      <c r="K10" s="12"/>
      <c r="L10" s="12"/>
      <c r="M10" s="13" t="str">
        <f aca="false">IF(COUNT(J10:L10)=0,"",AVERAGE(J10:L10))</f>
        <v/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/>
      <c r="Q10" s="10"/>
    </row>
    <row r="11" customFormat="false" ht="15" hidden="false" customHeight="false" outlineLevel="0" collapsed="false">
      <c r="A11" s="10" t="s">
        <v>194</v>
      </c>
      <c r="B11" s="10" t="s">
        <v>195</v>
      </c>
      <c r="C11" s="10" t="s">
        <v>83</v>
      </c>
      <c r="D11" s="10" t="s">
        <v>120</v>
      </c>
      <c r="E11" s="10" t="s">
        <v>97</v>
      </c>
      <c r="F11" s="10"/>
      <c r="G11" s="10"/>
      <c r="H11" s="11"/>
      <c r="I11" s="11"/>
      <c r="J11" s="12"/>
      <c r="K11" s="12"/>
      <c r="L11" s="12"/>
      <c r="M11" s="13" t="str">
        <f aca="false">IF(COUNT(J11:L11)=0,"",AVERAGE(J11:L11))</f>
        <v/>
      </c>
      <c r="N11" s="13" t="str">
        <f aca="false">IF(COUNT(J11:L11)&lt;2,"",MAX(J11:L11)-MIN(J11:L11))</f>
        <v/>
      </c>
      <c r="O11" s="10" t="str">
        <f aca="false">IF(OR(M11="",H11="",I11=""),"",IF(ABS(M11-H11)&lt;=I11,"DALAM TOLERANSI","LUAR TOLERANSI"))</f>
        <v/>
      </c>
      <c r="P11" s="10"/>
      <c r="Q11" s="10"/>
    </row>
    <row r="12" customFormat="false" ht="15" hidden="false" customHeight="false" outlineLevel="0" collapsed="false">
      <c r="A12" s="10" t="s">
        <v>196</v>
      </c>
      <c r="B12" s="10" t="s">
        <v>197</v>
      </c>
      <c r="C12" s="10" t="s">
        <v>83</v>
      </c>
      <c r="D12" s="10" t="s">
        <v>114</v>
      </c>
      <c r="E12" s="10" t="s">
        <v>115</v>
      </c>
      <c r="F12" s="10"/>
      <c r="G12" s="10"/>
      <c r="H12" s="11"/>
      <c r="I12" s="11"/>
      <c r="J12" s="12"/>
      <c r="K12" s="12"/>
      <c r="L12" s="12"/>
      <c r="M12" s="13" t="str">
        <f aca="false">IF(COUNT(J12:L12)=0,"",AVERAGE(J12:L12))</f>
        <v/>
      </c>
      <c r="N12" s="13" t="str">
        <f aca="false">IF(COUNT(J12:L12)&lt;2,"",MAX(J12:L12)-MIN(J12:L12))</f>
        <v/>
      </c>
      <c r="O12" s="10" t="str">
        <f aca="false">IF(OR(M12="",H12="",I12=""),"",IF(ABS(M12-H12)&lt;=I12,"DALAM TOLERANSI","LUAR TOLERANSI"))</f>
        <v/>
      </c>
      <c r="P12" s="10"/>
      <c r="Q12" s="10"/>
    </row>
    <row r="13" customFormat="false" ht="15" hidden="false" customHeight="false" outlineLevel="0" collapsed="false">
      <c r="A13" s="10" t="s">
        <v>198</v>
      </c>
      <c r="B13" s="10" t="s">
        <v>199</v>
      </c>
      <c r="C13" s="10" t="s">
        <v>101</v>
      </c>
      <c r="D13" s="10" t="s">
        <v>200</v>
      </c>
      <c r="E13" s="10" t="s">
        <v>201</v>
      </c>
      <c r="F13" s="10"/>
      <c r="G13" s="10"/>
      <c r="H13" s="11"/>
      <c r="I13" s="11"/>
      <c r="J13" s="12"/>
      <c r="K13" s="12"/>
      <c r="L13" s="12"/>
      <c r="M13" s="13" t="str">
        <f aca="false">IF(COUNT(J13:L13)=0,"",AVERAGE(J13:L13))</f>
        <v/>
      </c>
      <c r="N13" s="13" t="str">
        <f aca="false">IF(COUNT(J13:L13)&lt;2,"",MAX(J13:L13)-MIN(J13:L13))</f>
        <v/>
      </c>
      <c r="O13" s="10" t="str">
        <f aca="false">IF(OR(M13="",H13="",I13=""),"",IF(ABS(M13-H13)&lt;=I13,"DALAM TOLERANSI","LUAR TOLERANSI"))</f>
        <v/>
      </c>
      <c r="P13" s="10"/>
      <c r="Q13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6" t="s">
        <v>14</v>
      </c>
      <c r="B2" s="7" t="s">
        <v>27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28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203</v>
      </c>
      <c r="B8" s="10" t="s">
        <v>204</v>
      </c>
      <c r="C8" s="10" t="s">
        <v>83</v>
      </c>
      <c r="D8" s="10" t="s">
        <v>114</v>
      </c>
      <c r="E8" s="10" t="s">
        <v>97</v>
      </c>
      <c r="F8" s="10" t="s">
        <v>205</v>
      </c>
      <c r="G8" s="10" t="s">
        <v>206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  <row r="9" customFormat="false" ht="15" hidden="false" customHeight="false" outlineLevel="0" collapsed="false">
      <c r="A9" s="10" t="s">
        <v>207</v>
      </c>
      <c r="B9" s="10" t="s">
        <v>182</v>
      </c>
      <c r="C9" s="10" t="s">
        <v>83</v>
      </c>
      <c r="D9" s="10" t="s">
        <v>208</v>
      </c>
      <c r="E9" s="10" t="s">
        <v>97</v>
      </c>
      <c r="F9" s="10"/>
      <c r="G9" s="10"/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  <row r="10" customFormat="false" ht="15" hidden="false" customHeight="false" outlineLevel="0" collapsed="false">
      <c r="A10" s="10" t="s">
        <v>209</v>
      </c>
      <c r="B10" s="10" t="s">
        <v>195</v>
      </c>
      <c r="C10" s="10" t="s">
        <v>83</v>
      </c>
      <c r="D10" s="10" t="s">
        <v>120</v>
      </c>
      <c r="E10" s="10" t="s">
        <v>97</v>
      </c>
      <c r="F10" s="10"/>
      <c r="G10" s="10"/>
      <c r="H10" s="11"/>
      <c r="I10" s="11"/>
      <c r="J10" s="12"/>
      <c r="K10" s="12"/>
      <c r="L10" s="12"/>
      <c r="M10" s="13" t="str">
        <f aca="false">IF(COUNT(J10:L10)=0,"",AVERAGE(J10:L10))</f>
        <v/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/>
      <c r="Q10" s="10"/>
    </row>
    <row r="11" customFormat="false" ht="15" hidden="false" customHeight="false" outlineLevel="0" collapsed="false">
      <c r="A11" s="10" t="s">
        <v>210</v>
      </c>
      <c r="B11" s="10" t="s">
        <v>211</v>
      </c>
      <c r="C11" s="10" t="s">
        <v>83</v>
      </c>
      <c r="D11" s="10" t="s">
        <v>200</v>
      </c>
      <c r="E11" s="10" t="s">
        <v>97</v>
      </c>
      <c r="F11" s="10"/>
      <c r="G11" s="10"/>
      <c r="H11" s="11"/>
      <c r="I11" s="11"/>
      <c r="J11" s="12"/>
      <c r="K11" s="12"/>
      <c r="L11" s="12"/>
      <c r="M11" s="13" t="str">
        <f aca="false">IF(COUNT(J11:L11)=0,"",AVERAGE(J11:L11))</f>
        <v/>
      </c>
      <c r="N11" s="13" t="str">
        <f aca="false">IF(COUNT(J11:L11)&lt;2,"",MAX(J11:L11)-MIN(J11:L11))</f>
        <v/>
      </c>
      <c r="O11" s="10" t="str">
        <f aca="false">IF(OR(M11="",H11="",I11=""),"",IF(ABS(M11-H11)&lt;=I11,"DALAM TOLERANSI","LUAR TOLERANSI"))</f>
        <v/>
      </c>
      <c r="P11" s="10"/>
      <c r="Q11" s="10"/>
    </row>
    <row r="12" customFormat="false" ht="23.85" hidden="false" customHeight="false" outlineLevel="0" collapsed="false">
      <c r="A12" s="10" t="s">
        <v>212</v>
      </c>
      <c r="B12" s="10" t="s">
        <v>213</v>
      </c>
      <c r="C12" s="10" t="s">
        <v>106</v>
      </c>
      <c r="D12" s="10" t="s">
        <v>114</v>
      </c>
      <c r="E12" s="10" t="s">
        <v>214</v>
      </c>
      <c r="F12" s="10"/>
      <c r="G12" s="10"/>
      <c r="H12" s="11"/>
      <c r="I12" s="11"/>
      <c r="J12" s="12"/>
      <c r="K12" s="12"/>
      <c r="L12" s="12"/>
      <c r="M12" s="13" t="str">
        <f aca="false">IF(COUNT(J12:L12)=0,"",AVERAGE(J12:L12))</f>
        <v/>
      </c>
      <c r="N12" s="13" t="str">
        <f aca="false">IF(COUNT(J12:L12)&lt;2,"",MAX(J12:L12)-MIN(J12:L12))</f>
        <v/>
      </c>
      <c r="O12" s="10" t="str">
        <f aca="false">IF(OR(M12="",H12="",I12=""),"",IF(ABS(M12-H12)&lt;=I12,"DALAM TOLERANSI","LUAR TOLERANSI"))</f>
        <v/>
      </c>
      <c r="P12" s="10"/>
      <c r="Q12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6" t="s">
        <v>14</v>
      </c>
      <c r="B2" s="7" t="s">
        <v>31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32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216</v>
      </c>
      <c r="B8" s="10" t="s">
        <v>217</v>
      </c>
      <c r="C8" s="10" t="s">
        <v>83</v>
      </c>
      <c r="D8" s="10" t="s">
        <v>114</v>
      </c>
      <c r="E8" s="10" t="s">
        <v>218</v>
      </c>
      <c r="F8" s="10" t="s">
        <v>219</v>
      </c>
      <c r="G8" s="10" t="s">
        <v>220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  <row r="9" customFormat="false" ht="15" hidden="false" customHeight="false" outlineLevel="0" collapsed="false">
      <c r="A9" s="10" t="s">
        <v>221</v>
      </c>
      <c r="B9" s="10" t="s">
        <v>222</v>
      </c>
      <c r="C9" s="10" t="s">
        <v>101</v>
      </c>
      <c r="D9" s="10" t="s">
        <v>223</v>
      </c>
      <c r="E9" s="10" t="s">
        <v>97</v>
      </c>
      <c r="F9" s="10"/>
      <c r="G9" s="10"/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  <row r="10" customFormat="false" ht="23.85" hidden="false" customHeight="false" outlineLevel="0" collapsed="false">
      <c r="A10" s="10" t="s">
        <v>224</v>
      </c>
      <c r="B10" s="10" t="s">
        <v>225</v>
      </c>
      <c r="C10" s="10" t="s">
        <v>132</v>
      </c>
      <c r="D10" s="10" t="s">
        <v>226</v>
      </c>
      <c r="E10" s="10" t="s">
        <v>97</v>
      </c>
      <c r="F10" s="10"/>
      <c r="G10" s="10"/>
      <c r="H10" s="11"/>
      <c r="I10" s="11"/>
      <c r="J10" s="12"/>
      <c r="K10" s="12"/>
      <c r="L10" s="12"/>
      <c r="M10" s="13" t="str">
        <f aca="false">IF(COUNT(J10:L10)=0,"",AVERAGE(J10:L10))</f>
        <v/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/>
      <c r="Q10" s="10"/>
    </row>
    <row r="11" customFormat="false" ht="15" hidden="false" customHeight="false" outlineLevel="0" collapsed="false">
      <c r="A11" s="10" t="s">
        <v>227</v>
      </c>
      <c r="B11" s="10" t="s">
        <v>228</v>
      </c>
      <c r="C11" s="10" t="s">
        <v>83</v>
      </c>
      <c r="D11" s="10" t="s">
        <v>229</v>
      </c>
      <c r="E11" s="10" t="s">
        <v>97</v>
      </c>
      <c r="F11" s="10"/>
      <c r="G11" s="10"/>
      <c r="H11" s="11"/>
      <c r="I11" s="11"/>
      <c r="J11" s="12"/>
      <c r="K11" s="12"/>
      <c r="L11" s="12"/>
      <c r="M11" s="13" t="str">
        <f aca="false">IF(COUNT(J11:L11)=0,"",AVERAGE(J11:L11))</f>
        <v/>
      </c>
      <c r="N11" s="13" t="str">
        <f aca="false">IF(COUNT(J11:L11)&lt;2,"",MAX(J11:L11)-MIN(J11:L11))</f>
        <v/>
      </c>
      <c r="O11" s="10" t="str">
        <f aca="false">IF(OR(M11="",H11="",I11=""),"",IF(ABS(M11-H11)&lt;=I11,"DALAM TOLERANSI","LUAR TOLERANSI"))</f>
        <v/>
      </c>
      <c r="P11" s="10"/>
      <c r="Q11" s="10"/>
    </row>
    <row r="12" customFormat="false" ht="15" hidden="false" customHeight="false" outlineLevel="0" collapsed="false">
      <c r="A12" s="10" t="s">
        <v>230</v>
      </c>
      <c r="B12" s="10" t="s">
        <v>231</v>
      </c>
      <c r="C12" s="10" t="s">
        <v>83</v>
      </c>
      <c r="D12" s="10" t="s">
        <v>114</v>
      </c>
      <c r="E12" s="10" t="s">
        <v>97</v>
      </c>
      <c r="F12" s="10"/>
      <c r="G12" s="10"/>
      <c r="H12" s="11"/>
      <c r="I12" s="11"/>
      <c r="J12" s="12"/>
      <c r="K12" s="12"/>
      <c r="L12" s="12"/>
      <c r="M12" s="13" t="str">
        <f aca="false">IF(COUNT(J12:L12)=0,"",AVERAGE(J12:L12))</f>
        <v/>
      </c>
      <c r="N12" s="13" t="str">
        <f aca="false">IF(COUNT(J12:L12)&lt;2,"",MAX(J12:L12)-MIN(J12:L12))</f>
        <v/>
      </c>
      <c r="O12" s="10" t="str">
        <f aca="false">IF(OR(M12="",H12="",I12=""),"",IF(ABS(M12-H12)&lt;=I12,"DALAM TOLERANSI","LUAR TOLERANSI"))</f>
        <v/>
      </c>
      <c r="P12" s="10"/>
      <c r="Q12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6" t="s">
        <v>14</v>
      </c>
      <c r="B2" s="7" t="s">
        <v>35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36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15" hidden="false" customHeight="false" outlineLevel="0" collapsed="false">
      <c r="A8" s="10" t="s">
        <v>233</v>
      </c>
      <c r="B8" s="10" t="s">
        <v>234</v>
      </c>
      <c r="C8" s="10" t="s">
        <v>83</v>
      </c>
      <c r="D8" s="10" t="s">
        <v>235</v>
      </c>
      <c r="E8" s="10" t="s">
        <v>97</v>
      </c>
      <c r="F8" s="10" t="s">
        <v>236</v>
      </c>
      <c r="G8" s="10" t="s">
        <v>237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  <row r="9" customFormat="false" ht="15" hidden="false" customHeight="false" outlineLevel="0" collapsed="false">
      <c r="A9" s="10" t="s">
        <v>238</v>
      </c>
      <c r="B9" s="10" t="s">
        <v>239</v>
      </c>
      <c r="C9" s="10" t="s">
        <v>101</v>
      </c>
      <c r="D9" s="10" t="s">
        <v>240</v>
      </c>
      <c r="E9" s="10" t="s">
        <v>97</v>
      </c>
      <c r="F9" s="10"/>
      <c r="G9" s="10"/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  <row r="10" customFormat="false" ht="15" hidden="false" customHeight="false" outlineLevel="0" collapsed="false">
      <c r="A10" s="10" t="s">
        <v>241</v>
      </c>
      <c r="B10" s="10" t="s">
        <v>242</v>
      </c>
      <c r="C10" s="10" t="s">
        <v>137</v>
      </c>
      <c r="D10" s="10" t="s">
        <v>243</v>
      </c>
      <c r="E10" s="10" t="s">
        <v>97</v>
      </c>
      <c r="F10" s="10"/>
      <c r="G10" s="10"/>
      <c r="H10" s="11"/>
      <c r="I10" s="11"/>
      <c r="J10" s="12"/>
      <c r="K10" s="12"/>
      <c r="L10" s="12"/>
      <c r="M10" s="13" t="str">
        <f aca="false">IF(COUNT(J10:L10)=0,"",AVERAGE(J10:L10))</f>
        <v/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/>
      <c r="Q10" s="10"/>
    </row>
    <row r="11" customFormat="false" ht="23.85" hidden="false" customHeight="false" outlineLevel="0" collapsed="false">
      <c r="A11" s="10" t="s">
        <v>244</v>
      </c>
      <c r="B11" s="10" t="s">
        <v>245</v>
      </c>
      <c r="C11" s="10" t="s">
        <v>83</v>
      </c>
      <c r="D11" s="10" t="s">
        <v>246</v>
      </c>
      <c r="E11" s="10" t="s">
        <v>115</v>
      </c>
      <c r="F11" s="10" t="s">
        <v>247</v>
      </c>
      <c r="G11" s="10" t="s">
        <v>248</v>
      </c>
      <c r="H11" s="11"/>
      <c r="I11" s="11"/>
      <c r="J11" s="12"/>
      <c r="K11" s="12"/>
      <c r="L11" s="12"/>
      <c r="M11" s="13" t="str">
        <f aca="false">IF(COUNT(J11:L11)=0,"",AVERAGE(J11:L11))</f>
        <v/>
      </c>
      <c r="N11" s="13" t="str">
        <f aca="false">IF(COUNT(J11:L11)&lt;2,"",MAX(J11:L11)-MIN(J11:L11))</f>
        <v/>
      </c>
      <c r="O11" s="10" t="str">
        <f aca="false">IF(OR(M11="",H11="",I11=""),"",IF(ABS(M11-H11)&lt;=I11,"DALAM TOLERANSI","LUAR TOLERANSI"))</f>
        <v/>
      </c>
      <c r="P11" s="10"/>
      <c r="Q11" s="10"/>
    </row>
    <row r="12" customFormat="false" ht="15" hidden="false" customHeight="false" outlineLevel="0" collapsed="false">
      <c r="A12" s="10" t="s">
        <v>249</v>
      </c>
      <c r="B12" s="10" t="s">
        <v>250</v>
      </c>
      <c r="C12" s="10" t="s">
        <v>83</v>
      </c>
      <c r="D12" s="10" t="s">
        <v>251</v>
      </c>
      <c r="E12" s="10" t="s">
        <v>97</v>
      </c>
      <c r="F12" s="10"/>
      <c r="G12" s="10"/>
      <c r="H12" s="11"/>
      <c r="I12" s="11"/>
      <c r="J12" s="12"/>
      <c r="K12" s="12"/>
      <c r="L12" s="12"/>
      <c r="M12" s="13" t="str">
        <f aca="false">IF(COUNT(J12:L12)=0,"",AVERAGE(J12:L12))</f>
        <v/>
      </c>
      <c r="N12" s="13" t="str">
        <f aca="false">IF(COUNT(J12:L12)&lt;2,"",MAX(J12:L12)-MIN(J12:L12))</f>
        <v/>
      </c>
      <c r="O12" s="10" t="str">
        <f aca="false">IF(OR(M12="",H12="",I12=""),"",IF(ABS(M12-H12)&lt;=I12,"DALAM TOLERANSI","LUAR TOLERANSI"))</f>
        <v/>
      </c>
      <c r="P12" s="10"/>
      <c r="Q12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6" t="s">
        <v>14</v>
      </c>
      <c r="B2" s="7" t="s">
        <v>39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40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253</v>
      </c>
      <c r="B8" s="10" t="s">
        <v>254</v>
      </c>
      <c r="C8" s="10" t="s">
        <v>83</v>
      </c>
      <c r="D8" s="10" t="s">
        <v>255</v>
      </c>
      <c r="E8" s="10" t="s">
        <v>256</v>
      </c>
      <c r="F8" s="10" t="s">
        <v>257</v>
      </c>
      <c r="G8" s="10" t="s">
        <v>258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  <row r="9" customFormat="false" ht="15" hidden="false" customHeight="false" outlineLevel="0" collapsed="false">
      <c r="A9" s="10" t="s">
        <v>259</v>
      </c>
      <c r="B9" s="10" t="s">
        <v>260</v>
      </c>
      <c r="C9" s="10" t="s">
        <v>83</v>
      </c>
      <c r="D9" s="10" t="s">
        <v>261</v>
      </c>
      <c r="E9" s="10" t="s">
        <v>97</v>
      </c>
      <c r="F9" s="10" t="s">
        <v>262</v>
      </c>
      <c r="G9" s="10" t="s">
        <v>263</v>
      </c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  <row r="10" customFormat="false" ht="23.85" hidden="false" customHeight="false" outlineLevel="0" collapsed="false">
      <c r="A10" s="10" t="s">
        <v>264</v>
      </c>
      <c r="B10" s="10" t="s">
        <v>265</v>
      </c>
      <c r="C10" s="10" t="s">
        <v>83</v>
      </c>
      <c r="D10" s="10" t="s">
        <v>266</v>
      </c>
      <c r="E10" s="10" t="s">
        <v>97</v>
      </c>
      <c r="F10" s="10" t="s">
        <v>267</v>
      </c>
      <c r="G10" s="10" t="s">
        <v>263</v>
      </c>
      <c r="H10" s="11"/>
      <c r="I10" s="11"/>
      <c r="J10" s="12"/>
      <c r="K10" s="12"/>
      <c r="L10" s="12"/>
      <c r="M10" s="13" t="str">
        <f aca="false">IF(COUNT(J10:L10)=0,"",AVERAGE(J10:L10))</f>
        <v/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/>
      <c r="Q10" s="10"/>
    </row>
    <row r="11" customFormat="false" ht="15" hidden="false" customHeight="false" outlineLevel="0" collapsed="false">
      <c r="A11" s="10" t="s">
        <v>268</v>
      </c>
      <c r="B11" s="10" t="s">
        <v>242</v>
      </c>
      <c r="C11" s="10" t="s">
        <v>137</v>
      </c>
      <c r="D11" s="10" t="s">
        <v>243</v>
      </c>
      <c r="E11" s="10" t="s">
        <v>269</v>
      </c>
      <c r="F11" s="10" t="s">
        <v>270</v>
      </c>
      <c r="G11" s="10" t="s">
        <v>271</v>
      </c>
      <c r="H11" s="11"/>
      <c r="I11" s="11"/>
      <c r="J11" s="12"/>
      <c r="K11" s="12"/>
      <c r="L11" s="12"/>
      <c r="M11" s="13" t="str">
        <f aca="false">IF(COUNT(J11:L11)=0,"",AVERAGE(J11:L11))</f>
        <v/>
      </c>
      <c r="N11" s="13" t="str">
        <f aca="false">IF(COUNT(J11:L11)&lt;2,"",MAX(J11:L11)-MIN(J11:L11))</f>
        <v/>
      </c>
      <c r="O11" s="10" t="str">
        <f aca="false">IF(OR(M11="",H11="",I11=""),"",IF(ABS(M11-H11)&lt;=I11,"DALAM TOLERANSI","LUAR TOLERANSI"))</f>
        <v/>
      </c>
      <c r="P11" s="10"/>
      <c r="Q11" s="10"/>
    </row>
    <row r="12" customFormat="false" ht="15" hidden="false" customHeight="false" outlineLevel="0" collapsed="false">
      <c r="A12" s="10" t="s">
        <v>272</v>
      </c>
      <c r="B12" s="10" t="s">
        <v>273</v>
      </c>
      <c r="C12" s="10" t="s">
        <v>132</v>
      </c>
      <c r="D12" s="10" t="s">
        <v>274</v>
      </c>
      <c r="E12" s="10" t="s">
        <v>97</v>
      </c>
      <c r="F12" s="10"/>
      <c r="G12" s="10"/>
      <c r="H12" s="11"/>
      <c r="I12" s="11"/>
      <c r="J12" s="12"/>
      <c r="K12" s="12"/>
      <c r="L12" s="12"/>
      <c r="M12" s="13" t="str">
        <f aca="false">IF(COUNT(J12:L12)=0,"",AVERAGE(J12:L12))</f>
        <v/>
      </c>
      <c r="N12" s="13" t="str">
        <f aca="false">IF(COUNT(J12:L12)&lt;2,"",MAX(J12:L12)-MIN(J12:L12))</f>
        <v/>
      </c>
      <c r="O12" s="10" t="str">
        <f aca="false">IF(OR(M12="",H12="",I12=""),"",IF(ABS(M12-H12)&lt;=I12,"DALAM TOLERANSI","LUAR TOLERANSI"))</f>
        <v/>
      </c>
      <c r="P12" s="10"/>
      <c r="Q12" s="10"/>
    </row>
    <row r="13" customFormat="false" ht="23.85" hidden="false" customHeight="false" outlineLevel="0" collapsed="false">
      <c r="A13" s="10" t="s">
        <v>275</v>
      </c>
      <c r="B13" s="10" t="s">
        <v>276</v>
      </c>
      <c r="C13" s="10" t="s">
        <v>83</v>
      </c>
      <c r="D13" s="10" t="s">
        <v>114</v>
      </c>
      <c r="E13" s="10" t="s">
        <v>115</v>
      </c>
      <c r="F13" s="10" t="s">
        <v>277</v>
      </c>
      <c r="G13" s="10" t="s">
        <v>271</v>
      </c>
      <c r="H13" s="11"/>
      <c r="I13" s="11"/>
      <c r="J13" s="12"/>
      <c r="K13" s="12"/>
      <c r="L13" s="12"/>
      <c r="M13" s="13" t="str">
        <f aca="false">IF(COUNT(J13:L13)=0,"",AVERAGE(J13:L13))</f>
        <v/>
      </c>
      <c r="N13" s="13" t="str">
        <f aca="false">IF(COUNT(J13:L13)&lt;2,"",MAX(J13:L13)-MIN(J13:L13))</f>
        <v/>
      </c>
      <c r="O13" s="10" t="str">
        <f aca="false">IF(OR(M13="",H13="",I13=""),"",IF(ABS(M13-H13)&lt;=I13,"DALAM TOLERANSI","LUAR TOLERANSI"))</f>
        <v/>
      </c>
      <c r="P13" s="10"/>
      <c r="Q13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6" t="s">
        <v>14</v>
      </c>
      <c r="B2" s="7" t="s">
        <v>43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44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279</v>
      </c>
      <c r="B8" s="10" t="s">
        <v>280</v>
      </c>
      <c r="C8" s="10" t="s">
        <v>83</v>
      </c>
      <c r="D8" s="10" t="s">
        <v>281</v>
      </c>
      <c r="E8" s="10" t="s">
        <v>282</v>
      </c>
      <c r="F8" s="10" t="s">
        <v>283</v>
      </c>
      <c r="G8" s="10" t="s">
        <v>284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 t="s">
        <v>88</v>
      </c>
      <c r="Q8" s="10" t="s">
        <v>285</v>
      </c>
    </row>
    <row r="9" customFormat="false" ht="23.85" hidden="false" customHeight="false" outlineLevel="0" collapsed="false">
      <c r="A9" s="10" t="s">
        <v>286</v>
      </c>
      <c r="B9" s="10" t="s">
        <v>287</v>
      </c>
      <c r="C9" s="10" t="s">
        <v>137</v>
      </c>
      <c r="D9" s="10" t="s">
        <v>288</v>
      </c>
      <c r="E9" s="10" t="s">
        <v>289</v>
      </c>
      <c r="F9" s="10" t="s">
        <v>290</v>
      </c>
      <c r="G9" s="10" t="s">
        <v>291</v>
      </c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  <row r="10" customFormat="false" ht="23.85" hidden="false" customHeight="false" outlineLevel="0" collapsed="false">
      <c r="A10" s="10" t="s">
        <v>292</v>
      </c>
      <c r="B10" s="10" t="s">
        <v>293</v>
      </c>
      <c r="C10" s="10" t="s">
        <v>106</v>
      </c>
      <c r="D10" s="10" t="s">
        <v>294</v>
      </c>
      <c r="E10" s="10" t="s">
        <v>295</v>
      </c>
      <c r="F10" s="10" t="s">
        <v>295</v>
      </c>
      <c r="G10" s="10" t="s">
        <v>291</v>
      </c>
      <c r="H10" s="11"/>
      <c r="I10" s="11"/>
      <c r="J10" s="12"/>
      <c r="K10" s="12"/>
      <c r="L10" s="12"/>
      <c r="M10" s="13" t="str">
        <f aca="false">IF(COUNT(J10:L10)=0,"",AVERAGE(J10:L10))</f>
        <v/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/>
      <c r="Q10" s="10"/>
    </row>
    <row r="11" customFormat="false" ht="15" hidden="false" customHeight="false" outlineLevel="0" collapsed="false">
      <c r="A11" s="10" t="s">
        <v>296</v>
      </c>
      <c r="B11" s="10" t="s">
        <v>297</v>
      </c>
      <c r="C11" s="10" t="s">
        <v>298</v>
      </c>
      <c r="D11" s="10" t="s">
        <v>299</v>
      </c>
      <c r="E11" s="10" t="s">
        <v>300</v>
      </c>
      <c r="F11" s="10" t="s">
        <v>300</v>
      </c>
      <c r="G11" s="10" t="s">
        <v>291</v>
      </c>
      <c r="H11" s="11"/>
      <c r="I11" s="11"/>
      <c r="J11" s="12"/>
      <c r="K11" s="12"/>
      <c r="L11" s="12"/>
      <c r="M11" s="13" t="str">
        <f aca="false">IF(COUNT(J11:L11)=0,"",AVERAGE(J11:L11))</f>
        <v/>
      </c>
      <c r="N11" s="13" t="str">
        <f aca="false">IF(COUNT(J11:L11)&lt;2,"",MAX(J11:L11)-MIN(J11:L11))</f>
        <v/>
      </c>
      <c r="O11" s="10" t="str">
        <f aca="false">IF(OR(M11="",H11="",I11=""),"",IF(ABS(M11-H11)&lt;=I11,"DALAM TOLERANSI","LUAR TOLERANSI"))</f>
        <v/>
      </c>
      <c r="P11" s="10"/>
      <c r="Q11" s="10"/>
    </row>
    <row r="12" customFormat="false" ht="46.25" hidden="false" customHeight="false" outlineLevel="0" collapsed="false">
      <c r="A12" s="10" t="s">
        <v>301</v>
      </c>
      <c r="B12" s="10" t="s">
        <v>302</v>
      </c>
      <c r="C12" s="10" t="s">
        <v>97</v>
      </c>
      <c r="D12" s="10" t="s">
        <v>303</v>
      </c>
      <c r="E12" s="10" t="s">
        <v>97</v>
      </c>
      <c r="F12" s="10"/>
      <c r="G12" s="10"/>
      <c r="H12" s="11"/>
      <c r="I12" s="11"/>
      <c r="J12" s="12"/>
      <c r="K12" s="12"/>
      <c r="L12" s="12"/>
      <c r="M12" s="13" t="str">
        <f aca="false">IF(COUNT(J12:L12)=0,"",AVERAGE(J12:L12))</f>
        <v/>
      </c>
      <c r="N12" s="13" t="str">
        <f aca="false">IF(COUNT(J12:L12)&lt;2,"",MAX(J12:L12)-MIN(J12:L12))</f>
        <v/>
      </c>
      <c r="O12" s="10" t="str">
        <f aca="false">IF(OR(M12="",H12="",I12=""),"",IF(ABS(M12-H12)&lt;=I12,"DALAM TOLERANSI","LUAR TOLERANSI"))</f>
        <v/>
      </c>
      <c r="P12" s="10" t="s">
        <v>304</v>
      </c>
      <c r="Q12" s="10" t="s">
        <v>305</v>
      </c>
    </row>
    <row r="13" customFormat="false" ht="23.85" hidden="false" customHeight="false" outlineLevel="0" collapsed="false">
      <c r="A13" s="10" t="s">
        <v>306</v>
      </c>
      <c r="B13" s="10" t="s">
        <v>307</v>
      </c>
      <c r="C13" s="10" t="s">
        <v>308</v>
      </c>
      <c r="D13" s="10" t="s">
        <v>309</v>
      </c>
      <c r="E13" s="10" t="s">
        <v>97</v>
      </c>
      <c r="F13" s="10"/>
      <c r="G13" s="10"/>
      <c r="H13" s="11"/>
      <c r="I13" s="11"/>
      <c r="J13" s="12"/>
      <c r="K13" s="12"/>
      <c r="L13" s="12"/>
      <c r="M13" s="13" t="str">
        <f aca="false">IF(COUNT(J13:L13)=0,"",AVERAGE(J13:L13))</f>
        <v/>
      </c>
      <c r="N13" s="13" t="str">
        <f aca="false">IF(COUNT(J13:L13)&lt;2,"",MAX(J13:L13)-MIN(J13:L13))</f>
        <v/>
      </c>
      <c r="O13" s="10" t="str">
        <f aca="false">IF(OR(M13="",H13="",I13=""),"",IF(ABS(M13-H13)&lt;=I13,"DALAM TOLERANSI","LUAR TOLERANSI"))</f>
        <v/>
      </c>
      <c r="P13" s="10"/>
      <c r="Q13" s="10"/>
    </row>
    <row r="14" customFormat="false" ht="46.25" hidden="false" customHeight="false" outlineLevel="0" collapsed="false">
      <c r="A14" s="10" t="s">
        <v>310</v>
      </c>
      <c r="B14" s="10" t="s">
        <v>311</v>
      </c>
      <c r="C14" s="10" t="s">
        <v>83</v>
      </c>
      <c r="D14" s="10" t="s">
        <v>312</v>
      </c>
      <c r="E14" s="10" t="s">
        <v>313</v>
      </c>
      <c r="F14" s="10" t="s">
        <v>314</v>
      </c>
      <c r="G14" s="10" t="s">
        <v>315</v>
      </c>
      <c r="H14" s="11"/>
      <c r="I14" s="11"/>
      <c r="J14" s="12"/>
      <c r="K14" s="12"/>
      <c r="L14" s="12"/>
      <c r="M14" s="13" t="str">
        <f aca="false">IF(COUNT(J14:L14)=0,"",AVERAGE(J14:L14))</f>
        <v/>
      </c>
      <c r="N14" s="13" t="str">
        <f aca="false">IF(COUNT(J14:L14)&lt;2,"",MAX(J14:L14)-MIN(J14:L14))</f>
        <v/>
      </c>
      <c r="O14" s="10" t="str">
        <f aca="false">IF(OR(M14="",H14="",I14=""),"",IF(ABS(M14-H14)&lt;=I14,"DALAM TOLERANSI","LUAR TOLERANSI"))</f>
        <v/>
      </c>
      <c r="P14" s="10" t="s">
        <v>316</v>
      </c>
      <c r="Q14" s="10" t="s">
        <v>317</v>
      </c>
    </row>
    <row r="15" customFormat="false" ht="23.85" hidden="false" customHeight="false" outlineLevel="0" collapsed="false">
      <c r="A15" s="10" t="s">
        <v>318</v>
      </c>
      <c r="B15" s="10" t="s">
        <v>319</v>
      </c>
      <c r="C15" s="10" t="s">
        <v>137</v>
      </c>
      <c r="D15" s="10" t="s">
        <v>320</v>
      </c>
      <c r="E15" s="10" t="s">
        <v>97</v>
      </c>
      <c r="F15" s="10"/>
      <c r="G15" s="10"/>
      <c r="H15" s="11"/>
      <c r="I15" s="11"/>
      <c r="J15" s="12"/>
      <c r="K15" s="12"/>
      <c r="L15" s="12"/>
      <c r="M15" s="13" t="str">
        <f aca="false">IF(COUNT(J15:L15)=0,"",AVERAGE(J15:L15))</f>
        <v/>
      </c>
      <c r="N15" s="13" t="str">
        <f aca="false">IF(COUNT(J15:L15)&lt;2,"",MAX(J15:L15)-MIN(J15:L15))</f>
        <v/>
      </c>
      <c r="O15" s="10" t="str">
        <f aca="false">IF(OR(M15="",H15="",I15=""),"",IF(ABS(M15-H15)&lt;=I15,"DALAM TOLERANSI","LUAR TOLERANSI"))</f>
        <v/>
      </c>
      <c r="P15" s="10"/>
      <c r="Q15" s="10"/>
    </row>
    <row r="16" customFormat="false" ht="23.85" hidden="false" customHeight="false" outlineLevel="0" collapsed="false">
      <c r="A16" s="10" t="s">
        <v>321</v>
      </c>
      <c r="B16" s="10" t="s">
        <v>322</v>
      </c>
      <c r="C16" s="10" t="s">
        <v>97</v>
      </c>
      <c r="D16" s="10" t="s">
        <v>323</v>
      </c>
      <c r="E16" s="10" t="s">
        <v>324</v>
      </c>
      <c r="F16" s="10" t="s">
        <v>325</v>
      </c>
      <c r="G16" s="10" t="s">
        <v>315</v>
      </c>
      <c r="H16" s="11"/>
      <c r="I16" s="11"/>
      <c r="J16" s="12"/>
      <c r="K16" s="12"/>
      <c r="L16" s="12"/>
      <c r="M16" s="13" t="str">
        <f aca="false">IF(COUNT(J16:L16)=0,"",AVERAGE(J16:L16))</f>
        <v/>
      </c>
      <c r="N16" s="13" t="str">
        <f aca="false">IF(COUNT(J16:L16)&lt;2,"",MAX(J16:L16)-MIN(J16:L16))</f>
        <v/>
      </c>
      <c r="O16" s="10" t="str">
        <f aca="false">IF(OR(M16="",H16="",I16=""),"",IF(ABS(M16-H16)&lt;=I16,"DALAM TOLERANSI","LUAR TOLERANSI"))</f>
        <v/>
      </c>
      <c r="P16" s="10" t="s">
        <v>88</v>
      </c>
      <c r="Q16" s="10" t="s">
        <v>326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327</v>
      </c>
    </row>
    <row r="2" customFormat="false" ht="15" hidden="false" customHeight="false" outlineLevel="0" collapsed="false">
      <c r="A2" s="6" t="s">
        <v>14</v>
      </c>
      <c r="B2" s="7" t="s">
        <v>47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48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328</v>
      </c>
      <c r="B8" s="10" t="s">
        <v>329</v>
      </c>
      <c r="C8" s="10" t="s">
        <v>83</v>
      </c>
      <c r="D8" s="10" t="s">
        <v>330</v>
      </c>
      <c r="E8" s="10" t="s">
        <v>331</v>
      </c>
      <c r="F8" s="10" t="s">
        <v>332</v>
      </c>
      <c r="G8" s="10" t="s">
        <v>333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  <row r="9" customFormat="false" ht="35.05" hidden="false" customHeight="false" outlineLevel="0" collapsed="false">
      <c r="A9" s="10" t="s">
        <v>334</v>
      </c>
      <c r="B9" s="10" t="s">
        <v>335</v>
      </c>
      <c r="C9" s="10" t="s">
        <v>101</v>
      </c>
      <c r="D9" s="10" t="s">
        <v>336</v>
      </c>
      <c r="E9" s="10" t="s">
        <v>97</v>
      </c>
      <c r="F9" s="10" t="s">
        <v>337</v>
      </c>
      <c r="G9" s="10" t="s">
        <v>338</v>
      </c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  <row r="10" customFormat="false" ht="35.05" hidden="false" customHeight="false" outlineLevel="0" collapsed="false">
      <c r="A10" s="10" t="s">
        <v>339</v>
      </c>
      <c r="B10" s="10" t="s">
        <v>340</v>
      </c>
      <c r="C10" s="10" t="s">
        <v>83</v>
      </c>
      <c r="D10" s="10" t="s">
        <v>341</v>
      </c>
      <c r="E10" s="10" t="s">
        <v>97</v>
      </c>
      <c r="F10" s="10" t="s">
        <v>342</v>
      </c>
      <c r="G10" s="10" t="s">
        <v>343</v>
      </c>
      <c r="H10" s="11"/>
      <c r="I10" s="11"/>
      <c r="J10" s="12"/>
      <c r="K10" s="12"/>
      <c r="L10" s="12"/>
      <c r="M10" s="13" t="str">
        <f aca="false">IF(COUNT(J10:L10)=0,"",AVERAGE(J10:L10))</f>
        <v/>
      </c>
      <c r="N10" s="13" t="str">
        <f aca="false">IF(COUNT(J10:L10)&lt;2,"",MAX(J10:L10)-MIN(J10:L10))</f>
        <v/>
      </c>
      <c r="O10" s="10" t="str">
        <f aca="false">IF(OR(M10="",H10="",I10=""),"",IF(ABS(M10-H10)&lt;=I10,"DALAM TOLERANSI","LUAR TOLERANSI"))</f>
        <v/>
      </c>
      <c r="P10" s="10"/>
      <c r="Q10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344</v>
      </c>
    </row>
    <row r="2" customFormat="false" ht="15" hidden="false" customHeight="false" outlineLevel="0" collapsed="false">
      <c r="A2" s="6" t="s">
        <v>14</v>
      </c>
      <c r="B2" s="7" t="s">
        <v>51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52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15" hidden="false" customHeight="false" outlineLevel="0" collapsed="false">
      <c r="A8" s="10" t="s">
        <v>345</v>
      </c>
      <c r="B8" s="10" t="s">
        <v>346</v>
      </c>
      <c r="C8" s="10" t="s">
        <v>83</v>
      </c>
      <c r="D8" s="10" t="s">
        <v>124</v>
      </c>
      <c r="E8" s="10" t="s">
        <v>97</v>
      </c>
      <c r="F8" s="10"/>
      <c r="G8" s="10"/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  <row r="9" customFormat="false" ht="15" hidden="false" customHeight="false" outlineLevel="0" collapsed="false">
      <c r="A9" s="10" t="s">
        <v>347</v>
      </c>
      <c r="B9" s="10" t="s">
        <v>348</v>
      </c>
      <c r="C9" s="10" t="s">
        <v>83</v>
      </c>
      <c r="D9" s="10" t="s">
        <v>349</v>
      </c>
      <c r="E9" s="10" t="s">
        <v>97</v>
      </c>
      <c r="F9" s="10"/>
      <c r="G9" s="10"/>
      <c r="H9" s="11"/>
      <c r="I9" s="11"/>
      <c r="J9" s="12"/>
      <c r="K9" s="12"/>
      <c r="L9" s="12"/>
      <c r="M9" s="13" t="str">
        <f aca="false">IF(COUNT(J9:L9)=0,"",AVERAGE(J9:L9))</f>
        <v/>
      </c>
      <c r="N9" s="13" t="str">
        <f aca="false">IF(COUNT(J9:L9)&lt;2,"",MAX(J9:L9)-MIN(J9:L9))</f>
        <v/>
      </c>
      <c r="O9" s="10" t="str">
        <f aca="false">IF(OR(M9="",H9="",I9=""),"",IF(ABS(M9-H9)&lt;=I9,"DALAM TOLERANSI","LUAR TOLERANSI"))</f>
        <v/>
      </c>
      <c r="P9" s="10"/>
      <c r="Q9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350</v>
      </c>
    </row>
    <row r="2" customFormat="false" ht="15" hidden="false" customHeight="false" outlineLevel="0" collapsed="false">
      <c r="A2" s="6" t="s">
        <v>14</v>
      </c>
      <c r="B2" s="7" t="s">
        <v>55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56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35.05" hidden="false" customHeight="false" outlineLevel="0" collapsed="false">
      <c r="A8" s="10" t="s">
        <v>351</v>
      </c>
      <c r="B8" s="10" t="s">
        <v>352</v>
      </c>
      <c r="C8" s="10" t="s">
        <v>353</v>
      </c>
      <c r="D8" s="10" t="s">
        <v>354</v>
      </c>
      <c r="E8" s="10" t="s">
        <v>97</v>
      </c>
      <c r="F8" s="10"/>
      <c r="G8" s="10"/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12" min="9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60"/>
  </cols>
  <sheetData>
    <row r="1" customFormat="false" ht="15" hidden="false" customHeight="false" outlineLevel="0" collapsed="false">
      <c r="A1" s="1" t="s">
        <v>355</v>
      </c>
    </row>
    <row r="2" customFormat="false" ht="15" hidden="false" customHeight="false" outlineLevel="0" collapsed="false">
      <c r="A2" s="6" t="s">
        <v>14</v>
      </c>
      <c r="B2" s="7" t="s">
        <v>59</v>
      </c>
      <c r="C2" s="7"/>
      <c r="D2" s="7"/>
      <c r="E2" s="7"/>
      <c r="F2" s="7"/>
      <c r="G2" s="7"/>
    </row>
    <row r="3" customFormat="false" ht="15" hidden="false" customHeight="false" outlineLevel="0" collapsed="false">
      <c r="A3" s="6" t="s">
        <v>62</v>
      </c>
      <c r="B3" s="7" t="s">
        <v>60</v>
      </c>
      <c r="C3" s="7"/>
      <c r="D3" s="7"/>
      <c r="E3" s="7"/>
      <c r="F3" s="7"/>
      <c r="G3" s="7"/>
    </row>
    <row r="5" customFormat="false" ht="15" hidden="false" customHeight="false" outlineLevel="0" collapsed="false">
      <c r="A5" s="8" t="s">
        <v>63</v>
      </c>
    </row>
    <row r="7" customFormat="false" ht="23.85" hidden="false" customHeight="false" outlineLevel="0" collapsed="false">
      <c r="A7" s="9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9" t="s">
        <v>69</v>
      </c>
      <c r="G7" s="9" t="s">
        <v>70</v>
      </c>
      <c r="H7" s="9" t="s">
        <v>71</v>
      </c>
      <c r="I7" s="9" t="s">
        <v>72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</row>
    <row r="8" customFormat="false" ht="23.85" hidden="false" customHeight="false" outlineLevel="0" collapsed="false">
      <c r="A8" s="10" t="s">
        <v>356</v>
      </c>
      <c r="B8" s="10" t="s">
        <v>357</v>
      </c>
      <c r="C8" s="10" t="s">
        <v>83</v>
      </c>
      <c r="D8" s="10" t="s">
        <v>358</v>
      </c>
      <c r="E8" s="10" t="s">
        <v>359</v>
      </c>
      <c r="F8" s="10" t="s">
        <v>360</v>
      </c>
      <c r="G8" s="10" t="s">
        <v>361</v>
      </c>
      <c r="H8" s="11"/>
      <c r="I8" s="11"/>
      <c r="J8" s="12"/>
      <c r="K8" s="12"/>
      <c r="L8" s="12"/>
      <c r="M8" s="13" t="str">
        <f aca="false">IF(COUNT(J8:L8)=0,"",AVERAGE(J8:L8))</f>
        <v/>
      </c>
      <c r="N8" s="13" t="str">
        <f aca="false">IF(COUNT(J8:L8)&lt;2,"",MAX(J8:L8)-MIN(J8:L8))</f>
        <v/>
      </c>
      <c r="O8" s="10" t="str">
        <f aca="false">IF(OR(M8="",H8="",I8=""),"",IF(ABS(M8-H8)&lt;=I8,"DALAM TOLERANSI","LUAR TOLERANSI"))</f>
        <v/>
      </c>
      <c r="P8" s="10"/>
      <c r="Q8" s="10"/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2026-10-13T13:48:23Z</dcterms:created>
  <dc:creator>openpyxl</dc:creator>
  <dc:description/>
  <dc:language>en-US</dc:language>
  <cp:lastModifiedBy/>
  <dcterms:modified xsi:type="dcterms:W3CDTF">2026-10-13T13:48:23Z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